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uwnetid-my.sharepoint.com/personal/kaelis_uw_edu/Documents/Tinian Forest Bird project/Rat Chew Card Study/Data/"/>
    </mc:Choice>
  </mc:AlternateContent>
  <xr:revisionPtr revIDLastSave="394" documentId="13_ncr:1_{CD365E1A-77B8-47C4-8A4A-41C6E20FA35A}" xr6:coauthVersionLast="47" xr6:coauthVersionMax="47" xr10:uidLastSave="{E86FE170-FC9E-4546-8F59-2264344B52C4}"/>
  <bookViews>
    <workbookView xWindow="570" yWindow="105" windowWidth="19095" windowHeight="10530" xr2:uid="{06D80202-0B2C-4D14-8E92-D04C388FA512}"/>
  </bookViews>
  <sheets>
    <sheet name="Dry Seas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1" l="1"/>
  <c r="F49" i="1"/>
  <c r="F48" i="1"/>
  <c r="F47" i="1"/>
  <c r="F46" i="1"/>
  <c r="F44" i="1"/>
  <c r="F43" i="1"/>
  <c r="F42" i="1"/>
  <c r="F35" i="1"/>
  <c r="F37" i="1"/>
  <c r="F38" i="1"/>
  <c r="F40" i="1"/>
  <c r="F34" i="1"/>
  <c r="F32" i="1"/>
  <c r="F28" i="1"/>
  <c r="F29" i="1"/>
  <c r="F31" i="1"/>
  <c r="F27" i="1"/>
  <c r="F26" i="1"/>
  <c r="F25" i="1"/>
  <c r="F24" i="1"/>
  <c r="F22" i="1"/>
  <c r="U8" i="1"/>
  <c r="U6" i="1"/>
  <c r="U4" i="1"/>
  <c r="O4" i="1"/>
  <c r="R8" i="1"/>
  <c r="R6" i="1"/>
  <c r="R4" i="1"/>
  <c r="O6" i="1"/>
  <c r="F21" i="1"/>
  <c r="F20" i="1"/>
  <c r="F19" i="1"/>
  <c r="F18" i="1"/>
  <c r="F17" i="1"/>
  <c r="F16" i="1"/>
  <c r="F15" i="1"/>
  <c r="F14" i="1"/>
  <c r="F13" i="1"/>
  <c r="F12" i="1"/>
  <c r="F3" i="1"/>
  <c r="F4" i="1"/>
  <c r="F6" i="1"/>
  <c r="F7" i="1"/>
  <c r="F8" i="1"/>
  <c r="F9" i="1"/>
  <c r="F10" i="1"/>
  <c r="F11" i="1"/>
  <c r="F2" i="1"/>
  <c r="V16" i="1" l="1"/>
  <c r="U16" i="1"/>
  <c r="U14" i="1"/>
  <c r="U12" i="1"/>
  <c r="P16" i="1"/>
  <c r="O16" i="1"/>
  <c r="O18" i="1" s="1"/>
  <c r="O14" i="1"/>
  <c r="O12" i="1"/>
  <c r="R12" i="1"/>
  <c r="R14" i="1"/>
  <c r="S16" i="1"/>
  <c r="U18" i="1"/>
  <c r="R16" i="1"/>
  <c r="R18" i="1" s="1"/>
</calcChain>
</file>

<file path=xl/sharedStrings.xml><?xml version="1.0" encoding="utf-8"?>
<sst xmlns="http://schemas.openxmlformats.org/spreadsheetml/2006/main" count="305" uniqueCount="165">
  <si>
    <t>Study Area</t>
  </si>
  <si>
    <t xml:space="preserve">Site </t>
  </si>
  <si>
    <t xml:space="preserve">Deployment Time </t>
  </si>
  <si>
    <t>Image with First Contact</t>
  </si>
  <si>
    <t xml:space="preserve">Date of First Contact </t>
  </si>
  <si>
    <t>Time Until First Contact (hh:mm:ss)</t>
  </si>
  <si>
    <t>Notes</t>
  </si>
  <si>
    <t>Temination/Check Date</t>
  </si>
  <si>
    <t xml:space="preserve">Termination/Check Time </t>
  </si>
  <si>
    <t>Number of days deployed</t>
  </si>
  <si>
    <t xml:space="preserve">Max # of Rats </t>
  </si>
  <si>
    <t>Image with Max # of Rats</t>
  </si>
  <si>
    <t>Species Seen on Camera</t>
  </si>
  <si>
    <t>BN</t>
  </si>
  <si>
    <t>A-1-2</t>
  </si>
  <si>
    <t xml:space="preserve">BN First Capture Numbers </t>
  </si>
  <si>
    <t xml:space="preserve">UD First Capture Numbers </t>
  </si>
  <si>
    <t>Total First Night Captures</t>
  </si>
  <si>
    <t>A-5-9</t>
  </si>
  <si>
    <t xml:space="preserve"> Sites with First Capture on 1st Night </t>
  </si>
  <si>
    <t>A-7-6</t>
  </si>
  <si>
    <t>Update</t>
  </si>
  <si>
    <t>A-7-9</t>
  </si>
  <si>
    <t>NA</t>
  </si>
  <si>
    <t xml:space="preserve">Sites with First Capture on 2nd Night </t>
  </si>
  <si>
    <t>A-8-1</t>
  </si>
  <si>
    <t>A-9-2</t>
  </si>
  <si>
    <t xml:space="preserve">Sites with First Capture on 3rd Night </t>
  </si>
  <si>
    <t>A-3-5</t>
  </si>
  <si>
    <t>A-4-5</t>
  </si>
  <si>
    <t>A-3-2</t>
  </si>
  <si>
    <t>A-10-7</t>
  </si>
  <si>
    <t>Min Time Until First Capture (hh:mm:ss)</t>
  </si>
  <si>
    <t>UD</t>
  </si>
  <si>
    <t>B-1-6</t>
  </si>
  <si>
    <t>F:\Chew card camera images\Camera traps\Official UD study C1 4-25-25 to 4-28-25\Site B-1-6 deployed 4-25-25 check1 4-28-25\100RECNX\RCNX0055.JPG</t>
  </si>
  <si>
    <t>B-2-8</t>
  </si>
  <si>
    <t>F:\Chew card camera images\Camera traps\Official UD study C1 4-25-25 to 4-28-25\Site B-2-8 deployed 4-25-25 check1 4-28-25\100RECNX\RCNX2508.JPG</t>
  </si>
  <si>
    <t>Max Time Until First Capture (hh:mm:ss)</t>
  </si>
  <si>
    <t>B-3-2</t>
  </si>
  <si>
    <t>F:\Chew card camera images\Camera traps\Official UD study C1 4-25-25 to 4-28-25\Site B-3-2 deployed 4-25-25 check1 4-28-25\100RECNX\RCNX0021.JPG</t>
  </si>
  <si>
    <t>B-4-7</t>
  </si>
  <si>
    <t>F:\Chew card camera images\Camera traps\Official UD study C1 4-25-25 to 4-28-25\Site B-4-7 deployed 4-25-25 check1 4-28-25\100RECNX\RCNX0257.JPG</t>
  </si>
  <si>
    <t xml:space="preserve">Rat seen on behind tree 04/26/25 00:27:07 </t>
  </si>
  <si>
    <t>Average Time Until First Capture (hh:mm:ss)</t>
  </si>
  <si>
    <t>Standard Deviation (hh:mm:ss)</t>
  </si>
  <si>
    <t xml:space="preserve">B-5-5 </t>
  </si>
  <si>
    <t>F:\Chew card camera images\Camera traps\Official UD study C1 4-25-25 to 4-28-25\Site B-5-5 deployed 4-25-25 check1 4-28-25\101RECNX\RCNX0227.JPG</t>
  </si>
  <si>
    <t>Rat sniffs card but no bite  04/25/25 19:23:30</t>
  </si>
  <si>
    <t>B-6-9</t>
  </si>
  <si>
    <t>F:\Chew card camera images\Camera traps\Official UD study C1 4-25-25 to 4-28-25\Site B-6-9 deployed 4-25-25 check1 4-28-25\100RECNX\1072.JPG</t>
  </si>
  <si>
    <t xml:space="preserve">First rat seen on tree 04/26/25 00:08:29 but no contact seen. First rat chew is first contact image. Camera is 1 day behind (says deployment is on 4/24), I adjusted the dates to their correct one by adding 1 day. </t>
  </si>
  <si>
    <t>Average Number Nights Until First Capture</t>
  </si>
  <si>
    <t>B-7-1</t>
  </si>
  <si>
    <t>F:\Chew card camera images\Camera traps\Official UD study C1 4-25-25 to 4-28-25\Site B-7-1 deployed 4-25-25 check1 4-28-25\100RECNX\RCNX0285.JPG</t>
  </si>
  <si>
    <t>First rat seen on behind tree 04/25/25 21:28:54</t>
  </si>
  <si>
    <t>B-8-7</t>
  </si>
  <si>
    <t>F:\Chew card camera images\Camera traps\Official UD study C1 4-25-25 to 4-28-25\Site B-8-7 deployed 4-25-25 check1 4-28-25\100RECNX\RCNX0034.JPG</t>
  </si>
  <si>
    <t xml:space="preserve">Two rats make first contact. </t>
  </si>
  <si>
    <t>B-9-4</t>
  </si>
  <si>
    <t>F:\Chew card camera images\Camera traps\Official UD study C1 4-25-25 to 4-28-25\Site B-9-4 deployed 4-25-25 check1 4-28-25\100RECNX\RCNX1743.JPG</t>
  </si>
  <si>
    <t xml:space="preserve">Possible rat seen leaving tree 04/27/25 04:31:12. Several rats seen sniffing card from 04/27/25 21:36:46 to 22:51:25. No visible bites until first contact. </t>
  </si>
  <si>
    <t>B-10-8</t>
  </si>
  <si>
    <t>F:\Chew card camera images\Camera traps\Official UD study C1 4-25-25 to 4-28-25\Site B-10-8 deployed 4-25-25 check1 4-28-25\101RECNX\RCNX0019.JPG</t>
  </si>
  <si>
    <t xml:space="preserve">Chew marks already seen on card by time rat is seen on camera. First capture was missed. Entered times are for the one rat seen on camera chewing the card. </t>
  </si>
  <si>
    <t>MA</t>
  </si>
  <si>
    <t>D-3-4</t>
  </si>
  <si>
    <t>E:\Chew card camera images\Camera traps\Official MA study 5-20-25 to 5-23-25\D-3-4 deployed 5-20-25 terminated 5-23-25\RCNX0042.JPG</t>
  </si>
  <si>
    <t>No rats seen before first contact.</t>
  </si>
  <si>
    <t>Rats &amp; moth</t>
  </si>
  <si>
    <t>D-4-5</t>
  </si>
  <si>
    <t>No species seen on camera. Chew card intact at termination.</t>
  </si>
  <si>
    <t>None</t>
  </si>
  <si>
    <t xml:space="preserve">MA </t>
  </si>
  <si>
    <t>D-6-8</t>
  </si>
  <si>
    <t>E:\Chew card camera images\Camera traps\Official MA study 5-20-25 to 5-23-25\D-6-8 deployed 5-20-25 terminated 5-23-25\RCNX0057.JPG</t>
  </si>
  <si>
    <t>Rats seen on each of the 3 nights.</t>
  </si>
  <si>
    <t>E:\Chew card camera images\Camera traps\Official MA study 5-20-25 to 5-23-25\D-6-8 deployed 5-20-25 terminated 5-23-25\RCNX0246.JPG</t>
  </si>
  <si>
    <t>Rats (2 different sizes)</t>
  </si>
  <si>
    <t>D-8-6</t>
  </si>
  <si>
    <t>E:\Chew card camera images\Camera traps\Official MA study 5-20-25 to 5-23-25\D-8-6 deployed 5-20-25 terminated 5-23-25\RCNX0080.JPG</t>
  </si>
  <si>
    <t>E:\Chew card camera images\Camera traps\Official MA study 5-20-25 to 5-23-25\D-8-6 deployed 5-20-25 terminated 5-23-25\RCNX0131.JPG</t>
  </si>
  <si>
    <t>Rats &amp; hiker</t>
  </si>
  <si>
    <t>D-8-9</t>
  </si>
  <si>
    <t>E:\Chew card camera images\Camera traps\Official MA study 5-20-25 to 5-23-25\D-8-9 deployed 5-20-25 terminated 5-23-25\RCNX0016.JPG</t>
  </si>
  <si>
    <t>Rat and coconut crab seen chewing card on camera together (RCNX0106.JPG) on 5/21/25 19:16:51. Unknown who removes top card (coconut crab is the last species seen before it is gone).</t>
  </si>
  <si>
    <t>Rats &amp; coconut crab</t>
  </si>
  <si>
    <t>D-9-4</t>
  </si>
  <si>
    <t>E:\Chew card camera images\Camera traps\Official MA study 5-20-25 to 5-23-25\D-9-4 deployed 5-20-25 terminated 5-23-25\RCNX0018.JPG</t>
  </si>
  <si>
    <t>E:\Chew card camera images\Camera traps\Official MA study 5-20-25 to 5-23-25\D-9-4 deployed 5-20-25 terminated 5-23-25\RCNX0421.JPG</t>
  </si>
  <si>
    <t>Rats</t>
  </si>
  <si>
    <t>D-11-5</t>
  </si>
  <si>
    <t>E:\Chew card camera images\Camera traps\Official MA study 5-20-25 to 5-23-25\D-11-5 deployed 5-20-25 terminated 5-23-25\102RECNX\RCNX3350.JPG</t>
  </si>
  <si>
    <t>32,000+ images to review. Loads of veg. images. All images before first contact are empty (images after first contact not reviewed RECNX 102\RCNX3350.JPG onwards). First chew observed on day 3. Rat that makes first contact is missing half its tail. Other rat that joins it immediately is fine.</t>
  </si>
  <si>
    <t>Rats, ants, chicken, &amp; cat</t>
  </si>
  <si>
    <t>D-12-4</t>
  </si>
  <si>
    <t>E:\Chew card camera images\Camera traps\Official MA study 5-20-25 to 5-23-25\D-12-4 deployed 5-20-25 terminated 5-23-25\RCNX0029.JPG</t>
  </si>
  <si>
    <t>Rat seen chewing card on night 2 while ants are also on card (RCNX0213.JPG).</t>
  </si>
  <si>
    <t>E:\Chew card camera images\Camera traps\Official MA study 5-20-25 to 5-23-25\D-12-4 deployed 5-20-25 terminated 5-23-25\RCNX0488.JPG</t>
  </si>
  <si>
    <t>Rats &amp; ants</t>
  </si>
  <si>
    <t>D-14-4</t>
  </si>
  <si>
    <t xml:space="preserve">Only setup and checks are captured on camera. No animal photos. </t>
  </si>
  <si>
    <t>D-22-1</t>
  </si>
  <si>
    <t>E:\Chew card camera images\Camera traps\Official MA study 5-20-25 to 5-23-25\D-9-4 deployed 5-20-25 terminated 5-23-25\RCNX0101.JPG</t>
  </si>
  <si>
    <t xml:space="preserve">Rat seen night 2 (5/22/25 01:58 - 05:42 [RCNX0011.JPG to RCNX0030.JPG) sniffs card but does not make contact. Mouse/shrew from night 2 not caught on camera. </t>
  </si>
  <si>
    <t>Rats (one rather small one on night 2)</t>
  </si>
  <si>
    <t>E-2-10</t>
  </si>
  <si>
    <t>E:\Chew card camera images\Camera traps\Official UD study 6-2-25 to 6-5-25\E-2-10 deployed 6-2-25 terminated 6-5-25\RCNX0049.JPG</t>
  </si>
  <si>
    <t>Small rat species makes first contact.</t>
  </si>
  <si>
    <t>E-3-11</t>
  </si>
  <si>
    <t>E-4-5</t>
  </si>
  <si>
    <t>E:\Chew card camera images\Camera traps\Official BN study 6-2-25 to 6-5-25\E-4-5 deployed 6-2-25 terminated 6-5-25\RCNX4412.JPG</t>
  </si>
  <si>
    <t>Shows rats are not disturbed by flagging tape if it is on the deployment tree (flagging ~10cm from chew card). Large rat, small rat, and mouse seen on camera.</t>
  </si>
  <si>
    <t>Rats, Mouse, Emerald skink</t>
  </si>
  <si>
    <t>E-6-8</t>
  </si>
  <si>
    <t>RCNX0021.JPG</t>
  </si>
  <si>
    <t>RCNX0176.JPG</t>
  </si>
  <si>
    <t>E-6-1</t>
  </si>
  <si>
    <t>Rat sniffs card but no bite  06/03/25 03:41:11 (RCNX0041.JPG). Rat sniffs card again but no bite 06/05/25 02:01:51 (RCNX011.JPG). Chew card left intact by termination.</t>
  </si>
  <si>
    <t>RCNX0041.JPG</t>
  </si>
  <si>
    <t>E-7-9</t>
  </si>
  <si>
    <t>RCNX00125.JPG</t>
  </si>
  <si>
    <t>Rat seen running on vine behind chew card no contact 06/02/25 01:52:25 (RCNX0062.JPG).</t>
  </si>
  <si>
    <t>RCNX0456.JPG</t>
  </si>
  <si>
    <t>E-8-3</t>
  </si>
  <si>
    <t>RCNX0031.JPG</t>
  </si>
  <si>
    <t>RCNX0107.JPG</t>
  </si>
  <si>
    <t>E-9-4</t>
  </si>
  <si>
    <t>Time of first contact for 2nd trap night missed. Rats seen on camera 06/04/25 21:07:40 (RCNX0126.JPG).</t>
  </si>
  <si>
    <t>RCNX0126.JPG</t>
  </si>
  <si>
    <t>E-9-12</t>
  </si>
  <si>
    <t>RCNX0090.JPG</t>
  </si>
  <si>
    <t>RCNX0092.JPG</t>
  </si>
  <si>
    <t>E-10-2</t>
  </si>
  <si>
    <t>F-1-4</t>
  </si>
  <si>
    <t>D:\Chew card camera images\Camera traps\Official UD study 6-16-25 to 6-19-25\F-1-4 deployed 6-16-25 terminated 6-19-25\RCNX0168.JPG</t>
  </si>
  <si>
    <t>Visit on 3rd trap night as well (6/19/2025 at 03:53:36 [RCNX0252.JPG]).</t>
  </si>
  <si>
    <t>F-2-9</t>
  </si>
  <si>
    <t>D:\Chew card camera images\Camera traps\Official UD study 6-16-25 to 6-19-25\F-2-9 deployed 6-16-25 terminated 6-19-25\RCNX0166.JPG</t>
  </si>
  <si>
    <t>No animals seen on camera the second trap night, when the card is first damaged. Rat seen the following night and once it leaves the card is more damagd. Actual first chew not caught, but event when rat leaves after card has visibly more chews.</t>
  </si>
  <si>
    <t>F-3-10</t>
  </si>
  <si>
    <t>D:\Chew card camera images\Camera traps\Official UD study 6-16-25 to 6-19-25\F-3-10 deployed 6-16-25 terminated 6-19-25\RCNX0556.JPG</t>
  </si>
  <si>
    <t>Rat first seen on neighboring tree on first trap night (6/17/2025 19:47:47 [RCNX0411.JPG]). No contact until second night. Rat also visits tird trap night</t>
  </si>
  <si>
    <t>F-4-9</t>
  </si>
  <si>
    <t>No rats or animals seen on camera.</t>
  </si>
  <si>
    <t>F-5-6</t>
  </si>
  <si>
    <t>D:\Chew card camera images\Camera traps\Official UD study 6-16-25 to 6-19-25\F-5-6 deployed 6-16-25 terminated 6-19-25\RCNX0035.JPG</t>
  </si>
  <si>
    <t>Rats on all three trap nights. Visibly smaller rat on second night.</t>
  </si>
  <si>
    <t>D:\Chew card camera images\Camera traps\Official UD study 6-16-25 to 6-19-25\F-5-6 deployed 6-16-25 terminated 6-19-25\RCNX0416.JPG</t>
  </si>
  <si>
    <t>F-6-8</t>
  </si>
  <si>
    <t>D:\Chew card camera images\Camera traps\Official UD study 6-16-25 to 6-19-25\F-6-8 deployed 6-16-25 terminated 6-19-25\RCNX0036.JPG</t>
  </si>
  <si>
    <t>Rats seen on second and third trap nights.</t>
  </si>
  <si>
    <t>F-7-6</t>
  </si>
  <si>
    <t>D:\Chew card camera images\Camera traps\Official UD study 6-16-25 to 6-19-25\RCNX0017.JPG</t>
  </si>
  <si>
    <t>Rats see on all three trap nights.</t>
  </si>
  <si>
    <t>F-8-10</t>
  </si>
  <si>
    <t>D:\Chew card camera images\Camera traps\Official UD study 6-16-25 to 6-19-25\F-8-10 deployed 6-16-25 terminated 6-19-25\RECNX101\RCNX0066.JPG</t>
  </si>
  <si>
    <t>Rat visits card first night 6/16/25 23:38:48 (RECNX100\RCNX4611.JPG) but does not chew. Rats chew card on second and third trap night. Rat seen carrying away top card on the third night(RECNX101\RCNX4227.JPG). The flagging tape is a few inches above the card and sometimes lies on top of the card, rats ignore it.</t>
  </si>
  <si>
    <t>D:\Chew card camera images\Camera traps\Official UD study 6-16-25 to 6-19-25\F-8-10 deployed 6-16-25 terminated 6-19-25\RECNX101\RCNX0146.JPG</t>
  </si>
  <si>
    <t>F-9-6</t>
  </si>
  <si>
    <t>No rats seen on deploy tree but there is a rat seen on the third night on a neighoring tree 6/18/25 21:20:46(RCNX0091.JPG).  Chews are visible on the card before the third trap night.</t>
  </si>
  <si>
    <t>F-10-7</t>
  </si>
  <si>
    <t>D:\Chew card camera images\Camera traps\Official UD study 6-16-25 to 6-19-25\F-10-7 deployed 6-16-25 terminated 6-19-25\RCNX0968.JPG</t>
  </si>
  <si>
    <t>Rats seen chewing the card all three trap nights.</t>
  </si>
  <si>
    <t>D:\Chew card camera images\Camera traps\Official UD study 6-16-25 to 6-19-25\F-10-7 deployed 6-16-25 terminated 6-19-25\RCNX1046.JPG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</si>
</sst>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font>
      <sz val="11"/>
      <color theme="1"/>
      <name val="Aptos Narrow"/>
      <family val="2"/>
      <scheme val="minor"/>
    </font>
    <font>
      <sz val="11"/>
      <color theme="1"/>
      <name val="Aptos Narrow"/>
      <family val="2"/>
      <scheme val="minor"/>
    </font>
    <font>
      <b/>
      <sz val="11"/>
      <color theme="1"/>
      <name val="Aptos Narrow"/>
      <family val="2"/>
      <scheme val="minor"/>
    </font>
    <font>
      <sz val="10"/>
      <color indexed="8"/>
      <name val="Arial"/>
      <family val="2"/>
    </font>
    <font>
      <sz val="11"/>
      <color indexed="8"/>
      <name val="Aptos"/>
      <family val="2"/>
    </font>
    <font>
      <i/>
      <sz val="11"/>
      <color theme="1"/>
      <name val="Aptos Narrow"/>
      <family val="2"/>
      <scheme val="minor"/>
    </font>
    <font>
      <sz val="11"/>
      <name val="Aptos"/>
      <family val="2"/>
    </font>
  </fonts>
  <fills count="11">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right style="thin">
        <color indexed="22"/>
      </right>
      <top/>
      <bottom/>
      <diagonal/>
    </border>
  </borders>
  <cellStyleXfs count="3">
    <xf numFmtId="0" fontId="0" fillId="0" borderId="0"/>
    <xf numFmtId="9" fontId="1" fillId="0" borderId="0" applyFont="0" applyFill="0" applyBorder="0" applyAlignment="0" applyProtection="0"/>
    <xf numFmtId="0" fontId="3" fillId="0" borderId="0"/>
  </cellStyleXfs>
  <cellXfs count="63">
    <xf numFmtId="0" fontId="0" fillId="0" borderId="0" xfId="0"/>
    <xf numFmtId="0" fontId="2" fillId="2" borderId="0" xfId="0" applyFont="1" applyFill="1"/>
    <xf numFmtId="0" fontId="2" fillId="0" borderId="0" xfId="0" applyFont="1"/>
    <xf numFmtId="22" fontId="4" fillId="4" borderId="1" xfId="2" applyNumberFormat="1" applyFont="1" applyFill="1" applyBorder="1" applyAlignment="1">
      <alignment horizontal="right" wrapText="1"/>
    </xf>
    <xf numFmtId="22" fontId="0" fillId="4" borderId="0" xfId="0" applyNumberFormat="1" applyFill="1"/>
    <xf numFmtId="22" fontId="4" fillId="4" borderId="1" xfId="2" applyNumberFormat="1" applyFont="1" applyFill="1" applyBorder="1" applyAlignment="1">
      <alignment horizontal="right"/>
    </xf>
    <xf numFmtId="22" fontId="4" fillId="3" borderId="1" xfId="2" applyNumberFormat="1" applyFont="1" applyFill="1" applyBorder="1" applyAlignment="1">
      <alignment horizontal="right"/>
    </xf>
    <xf numFmtId="22" fontId="4" fillId="2" borderId="1" xfId="2" applyNumberFormat="1" applyFont="1" applyFill="1" applyBorder="1" applyAlignment="1">
      <alignment horizontal="right"/>
    </xf>
    <xf numFmtId="46" fontId="0" fillId="0" borderId="0" xfId="0" applyNumberFormat="1"/>
    <xf numFmtId="0" fontId="5" fillId="0" borderId="0" xfId="0" applyFont="1"/>
    <xf numFmtId="9" fontId="0" fillId="0" borderId="0" xfId="1" applyFont="1" applyFill="1"/>
    <xf numFmtId="0" fontId="2" fillId="3" borderId="0" xfId="0" applyFont="1" applyFill="1"/>
    <xf numFmtId="0" fontId="2" fillId="5" borderId="0" xfId="0" applyFont="1" applyFill="1"/>
    <xf numFmtId="22" fontId="2" fillId="0" borderId="0" xfId="0" applyNumberFormat="1" applyFont="1"/>
    <xf numFmtId="2" fontId="0" fillId="0" borderId="0" xfId="0" applyNumberFormat="1"/>
    <xf numFmtId="22" fontId="4" fillId="6" borderId="1" xfId="2" applyNumberFormat="1" applyFont="1" applyFill="1" applyBorder="1" applyAlignment="1">
      <alignment horizontal="right"/>
    </xf>
    <xf numFmtId="22" fontId="4" fillId="6" borderId="1" xfId="2" applyNumberFormat="1" applyFont="1" applyFill="1" applyBorder="1" applyAlignment="1">
      <alignment horizontal="left"/>
    </xf>
    <xf numFmtId="22" fontId="0" fillId="6" borderId="0" xfId="0" applyNumberFormat="1" applyFill="1" applyAlignment="1">
      <alignment horizontal="right"/>
    </xf>
    <xf numFmtId="22" fontId="4" fillId="0" borderId="1" xfId="2" applyNumberFormat="1" applyFont="1" applyBorder="1" applyAlignment="1">
      <alignment horizontal="right" wrapText="1"/>
    </xf>
    <xf numFmtId="22" fontId="4" fillId="0" borderId="1" xfId="2" applyNumberFormat="1" applyFont="1" applyBorder="1" applyAlignment="1">
      <alignment horizontal="right"/>
    </xf>
    <xf numFmtId="22" fontId="0" fillId="0" borderId="0" xfId="0" applyNumberFormat="1"/>
    <xf numFmtId="15" fontId="0" fillId="0" borderId="0" xfId="0" applyNumberFormat="1"/>
    <xf numFmtId="20" fontId="0" fillId="0" borderId="0" xfId="0" applyNumberFormat="1"/>
    <xf numFmtId="0" fontId="0" fillId="7" borderId="0" xfId="0" applyFill="1"/>
    <xf numFmtId="22" fontId="4" fillId="7" borderId="1" xfId="2" applyNumberFormat="1" applyFont="1" applyFill="1" applyBorder="1" applyAlignment="1">
      <alignment horizontal="right"/>
    </xf>
    <xf numFmtId="46" fontId="4" fillId="7" borderId="0" xfId="2" applyNumberFormat="1" applyFont="1" applyFill="1" applyAlignment="1">
      <alignment horizontal="right"/>
    </xf>
    <xf numFmtId="22" fontId="0" fillId="7" borderId="0" xfId="0" applyNumberFormat="1" applyFill="1"/>
    <xf numFmtId="15" fontId="0" fillId="7" borderId="0" xfId="0" applyNumberFormat="1" applyFill="1"/>
    <xf numFmtId="20" fontId="0" fillId="7" borderId="0" xfId="0" applyNumberFormat="1" applyFill="1"/>
    <xf numFmtId="0" fontId="0" fillId="3" borderId="0" xfId="0" applyFill="1"/>
    <xf numFmtId="0" fontId="4" fillId="3" borderId="1" xfId="2" applyFont="1" applyFill="1" applyBorder="1"/>
    <xf numFmtId="46" fontId="4" fillId="3" borderId="0" xfId="2" applyNumberFormat="1" applyFont="1" applyFill="1" applyAlignment="1">
      <alignment horizontal="right"/>
    </xf>
    <xf numFmtId="164" fontId="4" fillId="3" borderId="1" xfId="2" applyNumberFormat="1" applyFont="1" applyFill="1" applyBorder="1" applyAlignment="1">
      <alignment horizontal="right"/>
    </xf>
    <xf numFmtId="21" fontId="4" fillId="3" borderId="0" xfId="2" applyNumberFormat="1" applyFont="1" applyFill="1" applyAlignment="1">
      <alignment horizontal="right"/>
    </xf>
    <xf numFmtId="22" fontId="2" fillId="3" borderId="0" xfId="0" applyNumberFormat="1" applyFont="1" applyFill="1"/>
    <xf numFmtId="22" fontId="0" fillId="3" borderId="0" xfId="0" applyNumberFormat="1" applyFill="1"/>
    <xf numFmtId="0" fontId="0" fillId="2" borderId="0" xfId="0" applyFill="1"/>
    <xf numFmtId="0" fontId="4" fillId="2" borderId="2" xfId="2" applyFont="1" applyFill="1" applyBorder="1"/>
    <xf numFmtId="46" fontId="4" fillId="2" borderId="0" xfId="2" applyNumberFormat="1" applyFont="1" applyFill="1" applyAlignment="1">
      <alignment horizontal="right"/>
    </xf>
    <xf numFmtId="164" fontId="4" fillId="2" borderId="1" xfId="2" applyNumberFormat="1" applyFont="1" applyFill="1" applyBorder="1" applyAlignment="1">
      <alignment horizontal="right"/>
    </xf>
    <xf numFmtId="20" fontId="0" fillId="2" borderId="0" xfId="0" applyNumberFormat="1" applyFill="1"/>
    <xf numFmtId="22" fontId="0" fillId="2" borderId="0" xfId="0" applyNumberFormat="1" applyFill="1"/>
    <xf numFmtId="0" fontId="0" fillId="6" borderId="0" xfId="0" applyFill="1"/>
    <xf numFmtId="46" fontId="4" fillId="6" borderId="0" xfId="2" applyNumberFormat="1" applyFont="1" applyFill="1" applyAlignment="1">
      <alignment horizontal="right"/>
    </xf>
    <xf numFmtId="15" fontId="0" fillId="6" borderId="0" xfId="0" applyNumberFormat="1" applyFill="1"/>
    <xf numFmtId="20" fontId="0" fillId="6" borderId="0" xfId="0" applyNumberFormat="1" applyFill="1"/>
    <xf numFmtId="22" fontId="0" fillId="6" borderId="0" xfId="0" applyNumberFormat="1" applyFill="1"/>
    <xf numFmtId="0" fontId="4" fillId="6" borderId="3" xfId="2" applyFont="1" applyFill="1" applyBorder="1"/>
    <xf numFmtId="22" fontId="6" fillId="6" borderId="1" xfId="2" applyNumberFormat="1" applyFont="1" applyFill="1" applyBorder="1" applyAlignment="1">
      <alignment horizontal="right"/>
    </xf>
    <xf numFmtId="0" fontId="0" fillId="8" borderId="0" xfId="0" applyFill="1"/>
    <xf numFmtId="22" fontId="4" fillId="8" borderId="1" xfId="2" applyNumberFormat="1" applyFont="1" applyFill="1" applyBorder="1" applyAlignment="1">
      <alignment horizontal="right"/>
    </xf>
    <xf numFmtId="46" fontId="4" fillId="8" borderId="0" xfId="2" applyNumberFormat="1" applyFont="1" applyFill="1" applyAlignment="1">
      <alignment horizontal="right"/>
    </xf>
    <xf numFmtId="15" fontId="0" fillId="8" borderId="0" xfId="0" applyNumberFormat="1" applyFill="1"/>
    <xf numFmtId="20" fontId="0" fillId="8" borderId="0" xfId="0" applyNumberFormat="1" applyFill="1"/>
    <xf numFmtId="22" fontId="0" fillId="8" borderId="0" xfId="0" applyNumberFormat="1" applyFill="1"/>
    <xf numFmtId="0" fontId="0" fillId="9" borderId="0" xfId="0" applyFill="1"/>
    <xf numFmtId="0" fontId="0" fillId="10" borderId="0" xfId="0" applyFill="1"/>
    <xf numFmtId="22" fontId="4" fillId="10" borderId="1" xfId="2" applyNumberFormat="1" applyFont="1" applyFill="1" applyBorder="1" applyAlignment="1">
      <alignment horizontal="right"/>
    </xf>
    <xf numFmtId="46" fontId="4" fillId="10" borderId="0" xfId="2" applyNumberFormat="1" applyFont="1" applyFill="1" applyAlignment="1">
      <alignment horizontal="right"/>
    </xf>
    <xf numFmtId="15" fontId="0" fillId="10" borderId="0" xfId="0" applyNumberFormat="1" applyFill="1"/>
    <xf numFmtId="20" fontId="0" fillId="10" borderId="0" xfId="0" applyNumberFormat="1" applyFill="1"/>
    <xf numFmtId="22" fontId="0" fillId="10" borderId="0" xfId="0" applyNumberFormat="1" applyFill="1"/>
    <xf numFmtId="22" fontId="4" fillId="7" borderId="1" xfId="2" applyNumberFormat="1" applyFont="1" applyFill="1" applyBorder="1" applyAlignment="1">
      <alignment horizontal="right" wrapText="1"/>
    </xf>
  </cellXfs>
  <cellStyles count="3">
    <cellStyle name="Normal" xfId="0" builtinId="0"/>
    <cellStyle name="Normal_Sheet1" xfId="2" xr:uid="{DFBB12E2-5FBA-451E-BB25-6A1FF722BAD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7324-9534-4581-A279-5BE76DED9F99}">
  <dimension ref="A1:V127"/>
  <sheetViews>
    <sheetView tabSelected="1" topLeftCell="E1" workbookViewId="0">
      <pane ySplit="1" topLeftCell="A34" activePane="bottomLeft" state="frozen"/>
      <selection pane="bottomLeft" activeCell="G43" sqref="G43"/>
    </sheetView>
  </sheetViews>
  <sheetFormatPr defaultRowHeight="15"/>
  <cols>
    <col min="1" max="2" width="10.85546875" customWidth="1"/>
    <col min="3" max="4" width="22" style="4" customWidth="1"/>
    <col min="5" max="5" width="20.42578125" style="4" customWidth="1"/>
    <col min="6" max="7" width="32.5703125" style="4" customWidth="1"/>
    <col min="8" max="8" width="24.5703125" customWidth="1"/>
    <col min="9" max="9" width="23.42578125" customWidth="1"/>
    <col min="10" max="11" width="23.85546875" customWidth="1"/>
    <col min="12" max="13" width="23.85546875" style="13" customWidth="1"/>
    <col min="14" max="14" width="23.85546875" customWidth="1"/>
    <col min="15" max="16" width="40.28515625" customWidth="1"/>
    <col min="18" max="19" width="39.28515625" customWidth="1"/>
    <col min="21" max="22" width="39.5703125" customWidth="1"/>
  </cols>
  <sheetData>
    <row r="1" spans="1:22" s="2" customFormat="1">
      <c r="A1" s="2" t="s">
        <v>0</v>
      </c>
      <c r="B1" s="2" t="s">
        <v>1</v>
      </c>
      <c r="C1" s="13" t="s">
        <v>2</v>
      </c>
      <c r="D1" s="13" t="s">
        <v>3</v>
      </c>
      <c r="E1" s="13" t="s">
        <v>4</v>
      </c>
      <c r="F1" s="13" t="s">
        <v>5</v>
      </c>
      <c r="G1" s="13" t="s">
        <v>6</v>
      </c>
      <c r="H1" s="2" t="s">
        <v>7</v>
      </c>
      <c r="I1" s="2" t="s">
        <v>8</v>
      </c>
      <c r="J1" s="2" t="s">
        <v>9</v>
      </c>
      <c r="K1" s="2" t="s">
        <v>10</v>
      </c>
      <c r="L1" s="13" t="s">
        <v>11</v>
      </c>
      <c r="M1" s="13" t="s">
        <v>12</v>
      </c>
    </row>
    <row r="2" spans="1:22">
      <c r="A2" s="29" t="s">
        <v>13</v>
      </c>
      <c r="B2" s="30" t="s">
        <v>14</v>
      </c>
      <c r="C2" s="6">
        <v>45749.631944444445</v>
      </c>
      <c r="D2" s="6"/>
      <c r="E2" s="6">
        <v>45750.164247685185</v>
      </c>
      <c r="F2" s="31">
        <f>(E2-C2)</f>
        <v>0.53230324073956581</v>
      </c>
      <c r="G2" s="6"/>
      <c r="H2" s="32">
        <v>45754</v>
      </c>
      <c r="I2" s="33">
        <v>0.68819444444444444</v>
      </c>
      <c r="J2" s="29">
        <v>3</v>
      </c>
      <c r="K2" s="29"/>
      <c r="L2" s="34"/>
      <c r="M2" s="34"/>
      <c r="O2" s="11" t="s">
        <v>15</v>
      </c>
      <c r="P2" s="11"/>
      <c r="R2" s="1" t="s">
        <v>16</v>
      </c>
      <c r="S2" s="1"/>
      <c r="U2" s="12" t="s">
        <v>17</v>
      </c>
      <c r="V2" s="12"/>
    </row>
    <row r="3" spans="1:22">
      <c r="A3" s="29" t="s">
        <v>13</v>
      </c>
      <c r="B3" s="30" t="s">
        <v>18</v>
      </c>
      <c r="C3" s="6">
        <v>45749.595138888886</v>
      </c>
      <c r="D3" s="6"/>
      <c r="E3" s="6">
        <v>45750.187986111108</v>
      </c>
      <c r="F3" s="31">
        <f>(E3-C3)</f>
        <v>0.59284722222218988</v>
      </c>
      <c r="G3" s="6"/>
      <c r="H3" s="32">
        <v>45754</v>
      </c>
      <c r="I3" s="33">
        <v>0.6381944444444444</v>
      </c>
      <c r="J3" s="29">
        <v>3</v>
      </c>
      <c r="K3" s="29"/>
      <c r="L3" s="34"/>
      <c r="M3" s="34"/>
      <c r="O3" s="9" t="s">
        <v>19</v>
      </c>
      <c r="R3" s="9" t="s">
        <v>19</v>
      </c>
      <c r="U3" s="9" t="s">
        <v>19</v>
      </c>
    </row>
    <row r="4" spans="1:22">
      <c r="A4" s="29" t="s">
        <v>13</v>
      </c>
      <c r="B4" s="30" t="s">
        <v>20</v>
      </c>
      <c r="C4" s="6">
        <v>45749.570833333331</v>
      </c>
      <c r="D4" s="6"/>
      <c r="E4" s="6">
        <v>45749.825208333335</v>
      </c>
      <c r="F4" s="31">
        <f>(E4-C4)</f>
        <v>0.25437500000407454</v>
      </c>
      <c r="G4" s="6"/>
      <c r="H4" s="32">
        <v>45754</v>
      </c>
      <c r="I4" s="33">
        <v>0.60416666666666663</v>
      </c>
      <c r="J4" s="29">
        <v>3</v>
      </c>
      <c r="K4" s="29"/>
      <c r="L4" s="34"/>
      <c r="M4" s="34"/>
      <c r="O4" s="10">
        <f>6/9</f>
        <v>0.66666666666666663</v>
      </c>
      <c r="P4" t="s">
        <v>21</v>
      </c>
      <c r="R4" s="10">
        <f>5/10</f>
        <v>0.5</v>
      </c>
      <c r="S4" t="s">
        <v>21</v>
      </c>
      <c r="U4" s="10">
        <f>11/19</f>
        <v>0.57894736842105265</v>
      </c>
      <c r="V4" t="s">
        <v>21</v>
      </c>
    </row>
    <row r="5" spans="1:22">
      <c r="A5" s="29" t="s">
        <v>13</v>
      </c>
      <c r="B5" s="30" t="s">
        <v>22</v>
      </c>
      <c r="C5" s="6">
        <v>45749.574999999997</v>
      </c>
      <c r="D5" s="6"/>
      <c r="E5" s="6" t="s">
        <v>23</v>
      </c>
      <c r="F5" s="31" t="s">
        <v>23</v>
      </c>
      <c r="G5" s="6"/>
      <c r="H5" s="32">
        <v>45754</v>
      </c>
      <c r="I5" s="33">
        <v>0.60833333333333328</v>
      </c>
      <c r="J5" s="29">
        <v>3</v>
      </c>
      <c r="K5" s="29"/>
      <c r="L5" s="34"/>
      <c r="M5" s="34"/>
      <c r="O5" s="9" t="s">
        <v>24</v>
      </c>
      <c r="R5" s="9" t="s">
        <v>24</v>
      </c>
      <c r="U5" s="9" t="s">
        <v>24</v>
      </c>
    </row>
    <row r="6" spans="1:22">
      <c r="A6" s="29" t="s">
        <v>13</v>
      </c>
      <c r="B6" s="30" t="s">
        <v>25</v>
      </c>
      <c r="C6" s="6">
        <v>45749.552777777775</v>
      </c>
      <c r="D6" s="6"/>
      <c r="E6" s="6">
        <v>45749.978472222225</v>
      </c>
      <c r="F6" s="31">
        <f t="shared" ref="F6:F31" si="0">(E6-C6)</f>
        <v>0.42569444444961846</v>
      </c>
      <c r="G6" s="6"/>
      <c r="H6" s="32">
        <v>45754</v>
      </c>
      <c r="I6" s="33">
        <v>0.59444444444444444</v>
      </c>
      <c r="J6" s="29">
        <v>3</v>
      </c>
      <c r="K6" s="29"/>
      <c r="L6" s="34"/>
      <c r="M6" s="34"/>
      <c r="O6" s="10">
        <f>3/9</f>
        <v>0.33333333333333331</v>
      </c>
      <c r="P6" t="s">
        <v>21</v>
      </c>
      <c r="R6" s="10">
        <f>4/10</f>
        <v>0.4</v>
      </c>
      <c r="S6" t="s">
        <v>21</v>
      </c>
      <c r="U6" s="10">
        <f>7/19</f>
        <v>0.36842105263157893</v>
      </c>
      <c r="V6" t="s">
        <v>21</v>
      </c>
    </row>
    <row r="7" spans="1:22">
      <c r="A7" s="29" t="s">
        <v>13</v>
      </c>
      <c r="B7" s="30" t="s">
        <v>26</v>
      </c>
      <c r="C7" s="6">
        <v>45749.53125</v>
      </c>
      <c r="D7" s="6"/>
      <c r="E7" s="6">
        <v>45750.145914351851</v>
      </c>
      <c r="F7" s="31">
        <f t="shared" si="0"/>
        <v>0.61466435185138835</v>
      </c>
      <c r="G7" s="6"/>
      <c r="H7" s="32">
        <v>45754</v>
      </c>
      <c r="I7" s="33">
        <v>0.56805555555555554</v>
      </c>
      <c r="J7" s="29">
        <v>3</v>
      </c>
      <c r="K7" s="29"/>
      <c r="L7" s="34"/>
      <c r="M7" s="34"/>
      <c r="O7" s="9" t="s">
        <v>27</v>
      </c>
      <c r="R7" s="9" t="s">
        <v>27</v>
      </c>
      <c r="U7" s="9" t="s">
        <v>27</v>
      </c>
    </row>
    <row r="8" spans="1:22">
      <c r="A8" s="29" t="s">
        <v>13</v>
      </c>
      <c r="B8" s="30" t="s">
        <v>28</v>
      </c>
      <c r="C8" s="6">
        <v>45749.617361111108</v>
      </c>
      <c r="D8" s="6"/>
      <c r="E8" s="6">
        <v>45751.077430555553</v>
      </c>
      <c r="F8" s="31">
        <f t="shared" si="0"/>
        <v>1.4600694444452529</v>
      </c>
      <c r="G8" s="6"/>
      <c r="H8" s="32">
        <v>45754</v>
      </c>
      <c r="I8" s="33">
        <v>0.6645833333333333</v>
      </c>
      <c r="J8" s="29">
        <v>3</v>
      </c>
      <c r="K8" s="29"/>
      <c r="L8" s="34"/>
      <c r="M8" s="34"/>
      <c r="O8" s="10">
        <v>0</v>
      </c>
      <c r="P8" t="s">
        <v>21</v>
      </c>
      <c r="R8" s="10">
        <f>1/10</f>
        <v>0.1</v>
      </c>
      <c r="S8" t="s">
        <v>21</v>
      </c>
      <c r="U8" s="10">
        <f>1/19</f>
        <v>5.2631578947368418E-2</v>
      </c>
      <c r="V8" t="s">
        <v>21</v>
      </c>
    </row>
    <row r="9" spans="1:22">
      <c r="A9" s="29" t="s">
        <v>13</v>
      </c>
      <c r="B9" s="30" t="s">
        <v>29</v>
      </c>
      <c r="C9" s="6">
        <v>45749.605555555558</v>
      </c>
      <c r="D9" s="6"/>
      <c r="E9" s="6">
        <v>45750.197766203702</v>
      </c>
      <c r="F9" s="31">
        <f t="shared" si="0"/>
        <v>0.59221064814482816</v>
      </c>
      <c r="G9" s="6"/>
      <c r="H9" s="32">
        <v>45754</v>
      </c>
      <c r="I9" s="33">
        <v>0.65208333333333335</v>
      </c>
      <c r="J9" s="29">
        <v>3</v>
      </c>
      <c r="K9" s="29"/>
      <c r="L9" s="34"/>
      <c r="M9" s="34"/>
    </row>
    <row r="10" spans="1:22">
      <c r="A10" s="29" t="s">
        <v>13</v>
      </c>
      <c r="B10" s="30" t="s">
        <v>30</v>
      </c>
      <c r="C10" s="6">
        <v>45749.612500000003</v>
      </c>
      <c r="D10" s="6"/>
      <c r="E10" s="6">
        <v>45750.915902777779</v>
      </c>
      <c r="F10" s="31">
        <f t="shared" si="0"/>
        <v>1.3034027777757728</v>
      </c>
      <c r="G10" s="6"/>
      <c r="H10" s="32">
        <v>45754</v>
      </c>
      <c r="I10" s="33">
        <v>0.66041666666666665</v>
      </c>
      <c r="J10" s="29">
        <v>3</v>
      </c>
      <c r="K10" s="29"/>
      <c r="L10" s="34"/>
      <c r="M10" s="34"/>
    </row>
    <row r="11" spans="1:22">
      <c r="A11" s="29" t="s">
        <v>13</v>
      </c>
      <c r="B11" s="30" t="s">
        <v>31</v>
      </c>
      <c r="C11" s="6">
        <v>45749.518055555556</v>
      </c>
      <c r="D11" s="6"/>
      <c r="E11" s="6">
        <v>45751.068958333337</v>
      </c>
      <c r="F11" s="31">
        <f t="shared" si="0"/>
        <v>1.5509027777807205</v>
      </c>
      <c r="G11" s="6"/>
      <c r="H11" s="32">
        <v>45754</v>
      </c>
      <c r="I11" s="33">
        <v>0.55208333333333337</v>
      </c>
      <c r="J11" s="29">
        <v>3</v>
      </c>
      <c r="K11" s="29"/>
      <c r="L11" s="35"/>
      <c r="M11" s="35"/>
      <c r="O11" s="9" t="s">
        <v>32</v>
      </c>
      <c r="P11" s="9"/>
      <c r="R11" s="9" t="s">
        <v>32</v>
      </c>
      <c r="S11" s="9"/>
      <c r="U11" s="9" t="s">
        <v>32</v>
      </c>
    </row>
    <row r="12" spans="1:22">
      <c r="A12" s="36" t="s">
        <v>33</v>
      </c>
      <c r="B12" s="37" t="s">
        <v>34</v>
      </c>
      <c r="C12" s="7">
        <v>45772.456250000003</v>
      </c>
      <c r="D12" s="7" t="s">
        <v>35</v>
      </c>
      <c r="E12" s="7">
        <v>45772.838726851849</v>
      </c>
      <c r="F12" s="38">
        <f t="shared" si="0"/>
        <v>0.38247685184614966</v>
      </c>
      <c r="G12" s="7"/>
      <c r="H12" s="39">
        <v>45775</v>
      </c>
      <c r="I12" s="40">
        <v>0.35138888888888886</v>
      </c>
      <c r="J12" s="36">
        <v>3</v>
      </c>
      <c r="K12" s="36"/>
      <c r="L12" s="41"/>
      <c r="M12" s="41"/>
      <c r="O12" s="8">
        <f>MIN(F2:F11,F32:F41)</f>
        <v>0.25437500000407454</v>
      </c>
      <c r="P12" s="8"/>
      <c r="R12" s="8">
        <f>MIN(F12:F21)</f>
        <v>0.36048611111618811</v>
      </c>
      <c r="S12" s="8"/>
      <c r="U12" s="8">
        <f>MIN(F2:F41)</f>
        <v>0.25437500000407454</v>
      </c>
    </row>
    <row r="13" spans="1:22">
      <c r="A13" s="36" t="s">
        <v>33</v>
      </c>
      <c r="B13" s="37" t="s">
        <v>36</v>
      </c>
      <c r="C13" s="7">
        <v>45772.463888888888</v>
      </c>
      <c r="D13" s="7" t="s">
        <v>37</v>
      </c>
      <c r="E13" s="7">
        <v>45774.094189814816</v>
      </c>
      <c r="F13" s="38">
        <f t="shared" si="0"/>
        <v>1.630300925928168</v>
      </c>
      <c r="G13" s="7"/>
      <c r="H13" s="39">
        <v>45775</v>
      </c>
      <c r="I13" s="40">
        <v>0.35902777777777778</v>
      </c>
      <c r="J13" s="36">
        <v>3</v>
      </c>
      <c r="K13" s="36"/>
      <c r="L13" s="41"/>
      <c r="M13" s="41"/>
      <c r="O13" s="9" t="s">
        <v>38</v>
      </c>
      <c r="P13" s="9"/>
      <c r="R13" s="9" t="s">
        <v>38</v>
      </c>
      <c r="S13" s="9"/>
      <c r="U13" s="9" t="s">
        <v>38</v>
      </c>
    </row>
    <row r="14" spans="1:22">
      <c r="A14" s="36" t="s">
        <v>33</v>
      </c>
      <c r="B14" s="37" t="s">
        <v>39</v>
      </c>
      <c r="C14" s="7">
        <v>45772.472916666666</v>
      </c>
      <c r="D14" s="7" t="s">
        <v>40</v>
      </c>
      <c r="E14" s="7">
        <v>45772.999201388891</v>
      </c>
      <c r="F14" s="38">
        <f t="shared" si="0"/>
        <v>0.52628472222568234</v>
      </c>
      <c r="G14" s="7"/>
      <c r="H14" s="39">
        <v>45775</v>
      </c>
      <c r="I14" s="40">
        <v>0.37291666666666667</v>
      </c>
      <c r="J14" s="36">
        <v>3</v>
      </c>
      <c r="K14" s="36"/>
      <c r="L14" s="41"/>
      <c r="M14" s="41"/>
      <c r="O14" s="8">
        <f>MAX(F2:F11,F32:F41)</f>
        <v>2.4642939814802958</v>
      </c>
      <c r="P14" s="8"/>
      <c r="R14" s="8">
        <f>MAX(F12:F21)</f>
        <v>2.5865277777775191</v>
      </c>
      <c r="S14" s="8"/>
      <c r="U14" s="8">
        <f>MAX(F2:F41)</f>
        <v>2.6406134259304963</v>
      </c>
    </row>
    <row r="15" spans="1:22">
      <c r="A15" s="36" t="s">
        <v>33</v>
      </c>
      <c r="B15" s="37" t="s">
        <v>41</v>
      </c>
      <c r="C15" s="7">
        <v>45772.48333333333</v>
      </c>
      <c r="D15" s="7" t="s">
        <v>42</v>
      </c>
      <c r="E15" s="7">
        <v>45773.96199074074</v>
      </c>
      <c r="F15" s="38">
        <f t="shared" si="0"/>
        <v>1.4786574074096279</v>
      </c>
      <c r="G15" s="7" t="s">
        <v>43</v>
      </c>
      <c r="H15" s="39">
        <v>45775</v>
      </c>
      <c r="I15" s="40">
        <v>0.38750000000000001</v>
      </c>
      <c r="J15" s="36">
        <v>3</v>
      </c>
      <c r="K15" s="36"/>
      <c r="L15" s="41"/>
      <c r="M15" s="41"/>
      <c r="O15" s="9" t="s">
        <v>44</v>
      </c>
      <c r="P15" s="9" t="s">
        <v>45</v>
      </c>
      <c r="R15" s="9" t="s">
        <v>44</v>
      </c>
      <c r="S15" s="9" t="s">
        <v>45</v>
      </c>
      <c r="U15" s="9" t="s">
        <v>44</v>
      </c>
      <c r="V15" s="9" t="s">
        <v>45</v>
      </c>
    </row>
    <row r="16" spans="1:22">
      <c r="A16" s="36" t="s">
        <v>33</v>
      </c>
      <c r="B16" s="37" t="s">
        <v>46</v>
      </c>
      <c r="C16" s="7">
        <v>45772.492361111108</v>
      </c>
      <c r="D16" s="7" t="s">
        <v>47</v>
      </c>
      <c r="E16" s="7">
        <v>45772.852847222224</v>
      </c>
      <c r="F16" s="38">
        <f t="shared" si="0"/>
        <v>0.36048611111618811</v>
      </c>
      <c r="G16" s="7" t="s">
        <v>48</v>
      </c>
      <c r="H16" s="39">
        <v>45775</v>
      </c>
      <c r="I16" s="40">
        <v>0.40555555555555556</v>
      </c>
      <c r="J16" s="36">
        <v>3</v>
      </c>
      <c r="K16" s="36"/>
      <c r="L16" s="41"/>
      <c r="M16" s="41"/>
      <c r="O16" s="8">
        <f>AVERAGE(F2:F11, F32:F41)</f>
        <v>1.2184158950612376</v>
      </c>
      <c r="P16" s="8">
        <f>STDEV(F2:F11,F32:F41)</f>
        <v>0.66045104607438732</v>
      </c>
      <c r="R16" s="8">
        <f>AVERAGE(F12:F21)</f>
        <v>1.1073009259271203</v>
      </c>
      <c r="S16" s="8">
        <f>STDEV(F12:F21)</f>
        <v>0.75536644015315435</v>
      </c>
      <c r="U16" s="8">
        <f>AVERAGE(F2:F41)</f>
        <v>1.2744405864198625</v>
      </c>
      <c r="V16" s="8">
        <f>STDEV(F2:F41)</f>
        <v>0.75842256432230437</v>
      </c>
    </row>
    <row r="17" spans="1:22">
      <c r="A17" s="36" t="s">
        <v>33</v>
      </c>
      <c r="B17" s="37" t="s">
        <v>49</v>
      </c>
      <c r="C17" s="7">
        <v>45772.501388888886</v>
      </c>
      <c r="D17" s="7" t="s">
        <v>50</v>
      </c>
      <c r="E17" s="7">
        <v>45773.912546296298</v>
      </c>
      <c r="F17" s="38">
        <f t="shared" si="0"/>
        <v>1.4111574074122473</v>
      </c>
      <c r="G17" s="7" t="s">
        <v>51</v>
      </c>
      <c r="H17" s="39">
        <v>45775</v>
      </c>
      <c r="I17" s="40">
        <v>0.41249999999999998</v>
      </c>
      <c r="J17" s="36">
        <v>3</v>
      </c>
      <c r="K17" s="36"/>
      <c r="L17" s="41"/>
      <c r="M17" s="41"/>
      <c r="O17" s="9" t="s">
        <v>52</v>
      </c>
      <c r="P17" s="9"/>
      <c r="R17" s="9" t="s">
        <v>52</v>
      </c>
      <c r="U17" s="9" t="s">
        <v>52</v>
      </c>
    </row>
    <row r="18" spans="1:22">
      <c r="A18" s="36" t="s">
        <v>33</v>
      </c>
      <c r="B18" s="37" t="s">
        <v>53</v>
      </c>
      <c r="C18" s="7">
        <v>45772.509722222225</v>
      </c>
      <c r="D18" s="7" t="s">
        <v>54</v>
      </c>
      <c r="E18" s="7">
        <v>45773.008159722223</v>
      </c>
      <c r="F18" s="38">
        <f t="shared" si="0"/>
        <v>0.49843749999854481</v>
      </c>
      <c r="G18" s="7" t="s">
        <v>55</v>
      </c>
      <c r="H18" s="39">
        <v>45775</v>
      </c>
      <c r="I18" s="40">
        <v>0.4236111111111111</v>
      </c>
      <c r="J18" s="36">
        <v>3</v>
      </c>
      <c r="K18" s="36"/>
      <c r="L18" s="41"/>
      <c r="M18" s="41"/>
      <c r="O18" s="14">
        <f>O16</f>
        <v>1.2184158950612376</v>
      </c>
      <c r="R18" s="14">
        <f>R16</f>
        <v>1.1073009259271203</v>
      </c>
      <c r="U18" s="14">
        <f>U16</f>
        <v>1.2744405864198625</v>
      </c>
    </row>
    <row r="19" spans="1:22">
      <c r="A19" s="36" t="s">
        <v>33</v>
      </c>
      <c r="B19" s="37" t="s">
        <v>56</v>
      </c>
      <c r="C19" s="7">
        <v>45772.526388888888</v>
      </c>
      <c r="D19" s="7" t="s">
        <v>57</v>
      </c>
      <c r="E19" s="7">
        <v>45773.054849537039</v>
      </c>
      <c r="F19" s="38">
        <f t="shared" si="0"/>
        <v>0.52846064815093996</v>
      </c>
      <c r="G19" s="7" t="s">
        <v>58</v>
      </c>
      <c r="H19" s="39">
        <v>45775</v>
      </c>
      <c r="I19" s="40">
        <v>0.44027777777777777</v>
      </c>
      <c r="J19" s="36">
        <v>3</v>
      </c>
      <c r="K19" s="36"/>
      <c r="L19" s="41"/>
      <c r="M19" s="41"/>
    </row>
    <row r="20" spans="1:22">
      <c r="A20" s="36" t="s">
        <v>33</v>
      </c>
      <c r="B20" s="37" t="s">
        <v>59</v>
      </c>
      <c r="C20" s="7">
        <v>45772.532638888886</v>
      </c>
      <c r="D20" s="7" t="s">
        <v>60</v>
      </c>
      <c r="E20" s="7">
        <v>45775.119166666664</v>
      </c>
      <c r="F20" s="38">
        <f t="shared" si="0"/>
        <v>2.5865277777775191</v>
      </c>
      <c r="G20" s="7" t="s">
        <v>61</v>
      </c>
      <c r="H20" s="39">
        <v>45775</v>
      </c>
      <c r="I20" s="40">
        <v>0.45624999999999999</v>
      </c>
      <c r="J20" s="36">
        <v>3</v>
      </c>
      <c r="K20" s="36"/>
      <c r="L20" s="41"/>
      <c r="M20" s="41"/>
      <c r="R20" s="9"/>
      <c r="S20" s="9"/>
      <c r="U20" s="9"/>
      <c r="V20" s="9"/>
    </row>
    <row r="21" spans="1:22">
      <c r="A21" s="36" t="s">
        <v>33</v>
      </c>
      <c r="B21" s="37" t="s">
        <v>62</v>
      </c>
      <c r="C21" s="7">
        <v>45772.543055555558</v>
      </c>
      <c r="D21" s="7" t="s">
        <v>63</v>
      </c>
      <c r="E21" s="7">
        <v>45774.213275462964</v>
      </c>
      <c r="F21" s="38">
        <f t="shared" si="0"/>
        <v>1.6702199074061355</v>
      </c>
      <c r="G21" s="7" t="s">
        <v>64</v>
      </c>
      <c r="H21" s="39">
        <v>45775</v>
      </c>
      <c r="I21" s="40">
        <v>0.46736111111111112</v>
      </c>
      <c r="J21" s="36">
        <v>3</v>
      </c>
      <c r="K21" s="36"/>
      <c r="L21" s="41"/>
      <c r="M21" s="41"/>
      <c r="R21" s="10"/>
      <c r="S21" s="10"/>
      <c r="U21" s="10"/>
      <c r="V21" s="10"/>
    </row>
    <row r="22" spans="1:22">
      <c r="A22" s="42" t="s">
        <v>65</v>
      </c>
      <c r="B22" s="42" t="s">
        <v>66</v>
      </c>
      <c r="C22" s="15">
        <v>45797.347222222219</v>
      </c>
      <c r="D22" s="15" t="s">
        <v>67</v>
      </c>
      <c r="E22" s="15">
        <v>45799.987835648149</v>
      </c>
      <c r="F22" s="43">
        <f t="shared" si="0"/>
        <v>2.6406134259304963</v>
      </c>
      <c r="G22" s="15" t="s">
        <v>68</v>
      </c>
      <c r="H22" s="44">
        <v>45800</v>
      </c>
      <c r="I22" s="45">
        <v>0.37916666666666665</v>
      </c>
      <c r="J22" s="42">
        <v>3</v>
      </c>
      <c r="K22" s="42">
        <v>1</v>
      </c>
      <c r="L22" s="15" t="s">
        <v>67</v>
      </c>
      <c r="M22" s="46" t="s">
        <v>69</v>
      </c>
    </row>
    <row r="23" spans="1:22">
      <c r="A23" s="42" t="s">
        <v>65</v>
      </c>
      <c r="B23" s="47" t="s">
        <v>70</v>
      </c>
      <c r="C23" s="15">
        <v>45797.354861111111</v>
      </c>
      <c r="D23" s="15" t="s">
        <v>23</v>
      </c>
      <c r="E23" s="15" t="s">
        <v>23</v>
      </c>
      <c r="F23" s="17" t="s">
        <v>23</v>
      </c>
      <c r="G23" s="15" t="s">
        <v>71</v>
      </c>
      <c r="H23" s="44">
        <v>45800</v>
      </c>
      <c r="I23" s="45">
        <v>0.39305555555555555</v>
      </c>
      <c r="J23" s="42">
        <v>3</v>
      </c>
      <c r="K23" s="42" t="s">
        <v>23</v>
      </c>
      <c r="L23" s="46" t="s">
        <v>23</v>
      </c>
      <c r="M23" s="46" t="s">
        <v>72</v>
      </c>
    </row>
    <row r="24" spans="1:22">
      <c r="A24" s="42" t="s">
        <v>73</v>
      </c>
      <c r="B24" s="42" t="s">
        <v>74</v>
      </c>
      <c r="C24" s="15">
        <v>45797.370138888888</v>
      </c>
      <c r="D24" s="15" t="s">
        <v>75</v>
      </c>
      <c r="E24" s="15">
        <v>45798.084745370368</v>
      </c>
      <c r="F24" s="43">
        <f t="shared" si="0"/>
        <v>0.71460648148058681</v>
      </c>
      <c r="G24" s="46" t="s">
        <v>76</v>
      </c>
      <c r="H24" s="44">
        <v>45800</v>
      </c>
      <c r="I24" s="45">
        <v>0.41180555555555554</v>
      </c>
      <c r="J24" s="42">
        <v>3</v>
      </c>
      <c r="K24" s="42">
        <v>2</v>
      </c>
      <c r="L24" s="15" t="s">
        <v>77</v>
      </c>
      <c r="M24" s="46" t="s">
        <v>78</v>
      </c>
    </row>
    <row r="25" spans="1:22">
      <c r="A25" s="42" t="s">
        <v>73</v>
      </c>
      <c r="B25" s="42" t="s">
        <v>79</v>
      </c>
      <c r="C25" s="15">
        <v>45797.388194444444</v>
      </c>
      <c r="D25" s="15" t="s">
        <v>80</v>
      </c>
      <c r="E25" s="15">
        <v>45799.027627314812</v>
      </c>
      <c r="F25" s="43">
        <f t="shared" si="0"/>
        <v>1.6394328703681822</v>
      </c>
      <c r="G25" s="15"/>
      <c r="H25" s="44">
        <v>45800</v>
      </c>
      <c r="I25" s="45">
        <v>0.4284722222222222</v>
      </c>
      <c r="J25" s="42">
        <v>3</v>
      </c>
      <c r="K25" s="42">
        <v>2</v>
      </c>
      <c r="L25" s="15" t="s">
        <v>81</v>
      </c>
      <c r="M25" s="46" t="s">
        <v>82</v>
      </c>
    </row>
    <row r="26" spans="1:22">
      <c r="A26" s="42" t="s">
        <v>65</v>
      </c>
      <c r="B26" s="42" t="s">
        <v>83</v>
      </c>
      <c r="C26" s="15">
        <v>45797.390277777777</v>
      </c>
      <c r="D26" s="15" t="s">
        <v>84</v>
      </c>
      <c r="E26" s="15">
        <v>45797.745937500003</v>
      </c>
      <c r="F26" s="43">
        <f t="shared" si="0"/>
        <v>0.3556597222268465</v>
      </c>
      <c r="G26" s="15" t="s">
        <v>85</v>
      </c>
      <c r="H26" s="44">
        <v>45800</v>
      </c>
      <c r="I26" s="45">
        <v>0.43263888888888891</v>
      </c>
      <c r="J26" s="42">
        <v>3</v>
      </c>
      <c r="K26" s="42">
        <v>1</v>
      </c>
      <c r="L26" s="15" t="s">
        <v>84</v>
      </c>
      <c r="M26" s="46" t="s">
        <v>86</v>
      </c>
    </row>
    <row r="27" spans="1:22">
      <c r="A27" s="42" t="s">
        <v>73</v>
      </c>
      <c r="B27" s="42" t="s">
        <v>87</v>
      </c>
      <c r="C27" s="15">
        <v>45797.399305555555</v>
      </c>
      <c r="D27" s="15" t="s">
        <v>88</v>
      </c>
      <c r="E27" s="15">
        <v>45799.163437499999</v>
      </c>
      <c r="F27" s="43">
        <f t="shared" si="0"/>
        <v>1.7641319444446708</v>
      </c>
      <c r="G27" s="15"/>
      <c r="H27" s="44">
        <v>45800</v>
      </c>
      <c r="I27" s="45">
        <v>0.44722222222222224</v>
      </c>
      <c r="J27" s="42">
        <v>3</v>
      </c>
      <c r="K27" s="42">
        <v>2</v>
      </c>
      <c r="L27" s="15" t="s">
        <v>89</v>
      </c>
      <c r="M27" s="16" t="s">
        <v>90</v>
      </c>
    </row>
    <row r="28" spans="1:22">
      <c r="A28" s="42" t="s">
        <v>73</v>
      </c>
      <c r="B28" s="42" t="s">
        <v>91</v>
      </c>
      <c r="C28" s="15">
        <v>45797.413888888892</v>
      </c>
      <c r="D28" s="15" t="s">
        <v>92</v>
      </c>
      <c r="E28" s="48">
        <v>45799.812488425923</v>
      </c>
      <c r="F28" s="43">
        <f t="shared" si="0"/>
        <v>2.3985995370312594</v>
      </c>
      <c r="G28" s="15" t="s">
        <v>93</v>
      </c>
      <c r="H28" s="44">
        <v>45800</v>
      </c>
      <c r="I28" s="45">
        <v>0.46388888888888891</v>
      </c>
      <c r="J28" s="42">
        <v>3</v>
      </c>
      <c r="K28" s="42">
        <v>2</v>
      </c>
      <c r="L28" s="15" t="s">
        <v>92</v>
      </c>
      <c r="M28" s="46" t="s">
        <v>94</v>
      </c>
    </row>
    <row r="29" spans="1:22">
      <c r="A29" s="42" t="s">
        <v>65</v>
      </c>
      <c r="B29" s="42" t="s">
        <v>95</v>
      </c>
      <c r="C29" s="15">
        <v>45797.429166666669</v>
      </c>
      <c r="D29" s="15" t="s">
        <v>96</v>
      </c>
      <c r="E29" s="15">
        <v>45798.03402777778</v>
      </c>
      <c r="F29" s="43">
        <f t="shared" si="0"/>
        <v>0.60486111111094942</v>
      </c>
      <c r="G29" s="15" t="s">
        <v>97</v>
      </c>
      <c r="H29" s="44">
        <v>45800</v>
      </c>
      <c r="I29" s="45">
        <v>0.47291666666666665</v>
      </c>
      <c r="J29" s="42">
        <v>3</v>
      </c>
      <c r="K29" s="42">
        <v>2</v>
      </c>
      <c r="L29" s="15" t="s">
        <v>98</v>
      </c>
      <c r="M29" s="46" t="s">
        <v>99</v>
      </c>
    </row>
    <row r="30" spans="1:22">
      <c r="A30" s="42" t="s">
        <v>73</v>
      </c>
      <c r="B30" s="42" t="s">
        <v>100</v>
      </c>
      <c r="C30" s="15">
        <v>45797.436805555553</v>
      </c>
      <c r="D30" s="15" t="s">
        <v>23</v>
      </c>
      <c r="E30" s="15" t="s">
        <v>23</v>
      </c>
      <c r="F30" s="43" t="s">
        <v>23</v>
      </c>
      <c r="G30" s="15" t="s">
        <v>101</v>
      </c>
      <c r="H30" s="44">
        <v>45800</v>
      </c>
      <c r="I30" s="45">
        <v>0.49027777777777776</v>
      </c>
      <c r="J30" s="42">
        <v>3</v>
      </c>
      <c r="K30" s="42" t="s">
        <v>23</v>
      </c>
      <c r="L30" s="46" t="s">
        <v>23</v>
      </c>
      <c r="M30" s="46" t="s">
        <v>23</v>
      </c>
    </row>
    <row r="31" spans="1:22">
      <c r="A31" s="42" t="s">
        <v>65</v>
      </c>
      <c r="B31" s="42" t="s">
        <v>102</v>
      </c>
      <c r="C31" s="15">
        <v>45797.453472222223</v>
      </c>
      <c r="D31" s="15" t="s">
        <v>103</v>
      </c>
      <c r="E31" s="15">
        <v>45800.042858796296</v>
      </c>
      <c r="F31" s="43">
        <f t="shared" si="0"/>
        <v>2.5893865740727051</v>
      </c>
      <c r="G31" s="15" t="s">
        <v>104</v>
      </c>
      <c r="H31" s="44">
        <v>45800</v>
      </c>
      <c r="I31" s="45">
        <v>0.52013888888888893</v>
      </c>
      <c r="J31" s="42">
        <v>3</v>
      </c>
      <c r="K31" s="42">
        <v>1</v>
      </c>
      <c r="L31" s="15" t="s">
        <v>103</v>
      </c>
      <c r="M31" s="46" t="s">
        <v>105</v>
      </c>
    </row>
    <row r="32" spans="1:22" s="49" customFormat="1">
      <c r="A32" s="49" t="s">
        <v>13</v>
      </c>
      <c r="B32" t="s">
        <v>106</v>
      </c>
      <c r="C32" s="50">
        <v>45810.426388888889</v>
      </c>
      <c r="D32" s="50" t="s">
        <v>107</v>
      </c>
      <c r="E32" s="50">
        <v>45811.994791666664</v>
      </c>
      <c r="F32" s="51">
        <f>(E32-C32)</f>
        <v>1.5684027777751908</v>
      </c>
      <c r="G32" s="50" t="s">
        <v>108</v>
      </c>
      <c r="H32" s="52">
        <v>45813</v>
      </c>
      <c r="I32" s="53">
        <v>0.59166666666666667</v>
      </c>
      <c r="J32" s="49">
        <v>3</v>
      </c>
      <c r="K32" s="49">
        <v>1</v>
      </c>
      <c r="L32" s="50" t="s">
        <v>107</v>
      </c>
      <c r="M32" s="54" t="s">
        <v>90</v>
      </c>
    </row>
    <row r="33" spans="1:13" s="49" customFormat="1">
      <c r="A33" s="49" t="s">
        <v>13</v>
      </c>
      <c r="B33" t="s">
        <v>109</v>
      </c>
      <c r="C33" s="50">
        <v>45810.40902777778</v>
      </c>
      <c r="D33" s="50" t="s">
        <v>23</v>
      </c>
      <c r="E33" s="50" t="s">
        <v>23</v>
      </c>
      <c r="F33" s="51" t="s">
        <v>23</v>
      </c>
      <c r="G33" s="50" t="s">
        <v>71</v>
      </c>
      <c r="H33" s="52">
        <v>45813</v>
      </c>
      <c r="I33" s="53">
        <v>0.58750000000000002</v>
      </c>
      <c r="J33" s="49">
        <v>3</v>
      </c>
      <c r="K33" s="49" t="s">
        <v>23</v>
      </c>
      <c r="L33" s="54" t="s">
        <v>23</v>
      </c>
      <c r="M33" s="54" t="s">
        <v>72</v>
      </c>
    </row>
    <row r="34" spans="1:13" s="49" customFormat="1">
      <c r="A34" s="49" t="s">
        <v>13</v>
      </c>
      <c r="B34" t="s">
        <v>110</v>
      </c>
      <c r="C34" s="50">
        <v>45810.400000000001</v>
      </c>
      <c r="D34" s="50" t="s">
        <v>111</v>
      </c>
      <c r="E34" s="50">
        <v>45811.968032407407</v>
      </c>
      <c r="F34" s="51">
        <f t="shared" ref="F33:F42" si="1">(E34-C34)</f>
        <v>1.5680324074055534</v>
      </c>
      <c r="G34" s="50" t="s">
        <v>112</v>
      </c>
      <c r="H34" s="52">
        <v>45813</v>
      </c>
      <c r="I34" s="53">
        <v>0.57638888888888884</v>
      </c>
      <c r="J34" s="49">
        <v>3</v>
      </c>
      <c r="K34" s="49">
        <v>1</v>
      </c>
      <c r="L34" s="50" t="s">
        <v>111</v>
      </c>
      <c r="M34" s="54" t="s">
        <v>113</v>
      </c>
    </row>
    <row r="35" spans="1:13" s="49" customFormat="1">
      <c r="A35" s="49" t="s">
        <v>13</v>
      </c>
      <c r="B35" t="s">
        <v>114</v>
      </c>
      <c r="C35" s="50">
        <v>45810.379861111112</v>
      </c>
      <c r="D35" s="50" t="s">
        <v>115</v>
      </c>
      <c r="E35" s="50">
        <v>45812.184004629627</v>
      </c>
      <c r="F35" s="51">
        <f t="shared" si="1"/>
        <v>1.8041435185150476</v>
      </c>
      <c r="G35" s="50"/>
      <c r="H35" s="52">
        <v>45813</v>
      </c>
      <c r="I35" s="53">
        <v>0.55208333333333337</v>
      </c>
      <c r="J35" s="49">
        <v>3</v>
      </c>
      <c r="K35" s="49">
        <v>2</v>
      </c>
      <c r="L35" s="54" t="s">
        <v>116</v>
      </c>
      <c r="M35" s="54" t="s">
        <v>90</v>
      </c>
    </row>
    <row r="36" spans="1:13" s="56" customFormat="1">
      <c r="A36" s="56" t="s">
        <v>13</v>
      </c>
      <c r="B36" s="56" t="s">
        <v>117</v>
      </c>
      <c r="C36" s="57">
        <v>45810.37222222222</v>
      </c>
      <c r="D36" s="57" t="s">
        <v>23</v>
      </c>
      <c r="E36" s="57" t="s">
        <v>23</v>
      </c>
      <c r="F36" s="58" t="s">
        <v>23</v>
      </c>
      <c r="G36" s="57" t="s">
        <v>118</v>
      </c>
      <c r="H36" s="59">
        <v>45813</v>
      </c>
      <c r="I36" s="60">
        <v>0.5444444444444444</v>
      </c>
      <c r="J36" s="56">
        <v>3</v>
      </c>
      <c r="K36" s="56">
        <v>1</v>
      </c>
      <c r="L36" s="61" t="s">
        <v>119</v>
      </c>
      <c r="M36" s="61" t="s">
        <v>90</v>
      </c>
    </row>
    <row r="37" spans="1:13" s="49" customFormat="1">
      <c r="A37" s="49" t="s">
        <v>13</v>
      </c>
      <c r="B37" t="s">
        <v>120</v>
      </c>
      <c r="C37" s="50">
        <v>45810.361111111109</v>
      </c>
      <c r="D37" s="50" t="s">
        <v>121</v>
      </c>
      <c r="E37" s="50">
        <v>45812.82540509259</v>
      </c>
      <c r="F37" s="51">
        <f t="shared" si="1"/>
        <v>2.4642939814802958</v>
      </c>
      <c r="G37" s="50" t="s">
        <v>122</v>
      </c>
      <c r="H37" s="52">
        <v>45813</v>
      </c>
      <c r="I37" s="53">
        <v>0.52708333333333335</v>
      </c>
      <c r="J37" s="49">
        <v>3</v>
      </c>
      <c r="K37" s="49">
        <v>2</v>
      </c>
      <c r="L37" s="54" t="s">
        <v>123</v>
      </c>
      <c r="M37" s="54" t="s">
        <v>90</v>
      </c>
    </row>
    <row r="38" spans="1:13" s="49" customFormat="1">
      <c r="A38" s="49" t="s">
        <v>13</v>
      </c>
      <c r="B38" t="s">
        <v>124</v>
      </c>
      <c r="C38" s="50">
        <v>45810.351388888892</v>
      </c>
      <c r="D38" s="50" t="s">
        <v>125</v>
      </c>
      <c r="E38" s="50">
        <v>45812.132175925923</v>
      </c>
      <c r="F38" s="51">
        <f t="shared" si="1"/>
        <v>1.7807870370306773</v>
      </c>
      <c r="G38" s="50"/>
      <c r="H38" s="52">
        <v>45813</v>
      </c>
      <c r="I38" s="53">
        <v>0.51736111111111116</v>
      </c>
      <c r="J38" s="49">
        <v>3</v>
      </c>
      <c r="K38" s="49">
        <v>2</v>
      </c>
      <c r="L38" s="54" t="s">
        <v>126</v>
      </c>
      <c r="M38" s="54" t="s">
        <v>90</v>
      </c>
    </row>
    <row r="39" spans="1:13" s="49" customFormat="1">
      <c r="A39" s="49" t="s">
        <v>13</v>
      </c>
      <c r="B39" t="s">
        <v>127</v>
      </c>
      <c r="C39" s="50">
        <v>45810.344444444447</v>
      </c>
      <c r="D39" s="50" t="s">
        <v>23</v>
      </c>
      <c r="E39" s="50" t="s">
        <v>23</v>
      </c>
      <c r="F39" s="51" t="s">
        <v>23</v>
      </c>
      <c r="G39" s="50" t="s">
        <v>128</v>
      </c>
      <c r="H39" s="52">
        <v>45813</v>
      </c>
      <c r="I39" s="53">
        <v>0.50486111111111109</v>
      </c>
      <c r="J39" s="49">
        <v>3</v>
      </c>
      <c r="K39" s="49">
        <v>2</v>
      </c>
      <c r="L39" s="54" t="s">
        <v>129</v>
      </c>
      <c r="M39" s="54" t="s">
        <v>90</v>
      </c>
    </row>
    <row r="40" spans="1:13" s="49" customFormat="1">
      <c r="A40" s="49" t="s">
        <v>13</v>
      </c>
      <c r="B40" t="s">
        <v>130</v>
      </c>
      <c r="C40" s="50">
        <v>45810.334722222222</v>
      </c>
      <c r="D40" s="50" t="s">
        <v>131</v>
      </c>
      <c r="E40" s="50">
        <v>45812.09883101852</v>
      </c>
      <c r="F40" s="51">
        <f t="shared" si="1"/>
        <v>1.7641087962983875</v>
      </c>
      <c r="G40" s="50"/>
      <c r="H40" s="52">
        <v>45813</v>
      </c>
      <c r="I40" s="53">
        <v>0.49513888888888891</v>
      </c>
      <c r="J40" s="49">
        <v>3</v>
      </c>
      <c r="K40" s="49">
        <v>2</v>
      </c>
      <c r="L40" s="54" t="s">
        <v>132</v>
      </c>
      <c r="M40" s="54" t="s">
        <v>90</v>
      </c>
    </row>
    <row r="41" spans="1:13" s="49" customFormat="1">
      <c r="A41" s="49" t="s">
        <v>13</v>
      </c>
      <c r="B41" t="s">
        <v>133</v>
      </c>
      <c r="C41" s="50">
        <v>45810.324305555558</v>
      </c>
      <c r="D41" s="50" t="s">
        <v>23</v>
      </c>
      <c r="E41" s="50" t="s">
        <v>23</v>
      </c>
      <c r="F41" s="51" t="s">
        <v>23</v>
      </c>
      <c r="G41" s="50" t="s">
        <v>71</v>
      </c>
      <c r="H41" s="52">
        <v>45813</v>
      </c>
      <c r="I41" s="53">
        <v>0.48333333333333334</v>
      </c>
      <c r="J41" s="49">
        <v>3</v>
      </c>
      <c r="K41" s="49" t="s">
        <v>23</v>
      </c>
      <c r="L41" s="54" t="s">
        <v>23</v>
      </c>
      <c r="M41" s="54" t="s">
        <v>72</v>
      </c>
    </row>
    <row r="42" spans="1:13" s="23" customFormat="1">
      <c r="A42" s="23" t="s">
        <v>33</v>
      </c>
      <c r="B42" s="55" t="s">
        <v>134</v>
      </c>
      <c r="C42" s="24">
        <v>45824.330555555556</v>
      </c>
      <c r="D42" s="24" t="s">
        <v>135</v>
      </c>
      <c r="E42" s="24">
        <v>45826.182511574072</v>
      </c>
      <c r="F42" s="25">
        <f>E42-C42</f>
        <v>1.8519560185159207</v>
      </c>
      <c r="G42" s="24" t="s">
        <v>136</v>
      </c>
      <c r="H42" s="27">
        <v>45827</v>
      </c>
      <c r="I42" s="28">
        <v>0.33402777777777776</v>
      </c>
      <c r="J42" s="23">
        <v>3</v>
      </c>
      <c r="K42" s="23">
        <v>1</v>
      </c>
      <c r="L42" s="24" t="s">
        <v>135</v>
      </c>
      <c r="M42" s="26" t="s">
        <v>90</v>
      </c>
    </row>
    <row r="43" spans="1:13" s="23" customFormat="1" ht="115.5">
      <c r="A43" s="23" t="s">
        <v>33</v>
      </c>
      <c r="B43" s="55" t="s">
        <v>137</v>
      </c>
      <c r="C43" s="24">
        <v>45824.341666666667</v>
      </c>
      <c r="D43" s="24" t="s">
        <v>138</v>
      </c>
      <c r="E43" s="24">
        <v>45826.87054398148</v>
      </c>
      <c r="F43" s="25">
        <f>E43-C43</f>
        <v>2.528877314813144</v>
      </c>
      <c r="G43" s="62" t="s">
        <v>139</v>
      </c>
      <c r="H43" s="27">
        <v>45827</v>
      </c>
      <c r="I43" s="28">
        <v>0.34791666666666665</v>
      </c>
      <c r="J43" s="23">
        <v>3</v>
      </c>
      <c r="K43" s="23">
        <v>1</v>
      </c>
      <c r="L43" s="24" t="s">
        <v>138</v>
      </c>
      <c r="M43" s="26" t="s">
        <v>90</v>
      </c>
    </row>
    <row r="44" spans="1:13" s="23" customFormat="1">
      <c r="A44" s="23" t="s">
        <v>33</v>
      </c>
      <c r="B44" s="55" t="s">
        <v>140</v>
      </c>
      <c r="C44" s="24">
        <v>45824.356249999997</v>
      </c>
      <c r="D44" s="24" t="s">
        <v>141</v>
      </c>
      <c r="E44" s="24">
        <v>45826.835497685184</v>
      </c>
      <c r="F44" s="25">
        <f>E44-C44</f>
        <v>2.479247685187147</v>
      </c>
      <c r="G44" s="24" t="s">
        <v>142</v>
      </c>
      <c r="H44" s="27">
        <v>45827</v>
      </c>
      <c r="I44" s="28">
        <v>0.36319444444444443</v>
      </c>
      <c r="J44" s="23">
        <v>3</v>
      </c>
      <c r="K44" s="23">
        <v>1</v>
      </c>
      <c r="L44" s="24" t="s">
        <v>141</v>
      </c>
      <c r="M44" s="26" t="s">
        <v>90</v>
      </c>
    </row>
    <row r="45" spans="1:13" s="23" customFormat="1">
      <c r="A45" s="23" t="s">
        <v>33</v>
      </c>
      <c r="B45" s="55" t="s">
        <v>143</v>
      </c>
      <c r="C45" s="24">
        <v>45824.365972222222</v>
      </c>
      <c r="D45" s="24" t="s">
        <v>23</v>
      </c>
      <c r="E45" s="24" t="s">
        <v>23</v>
      </c>
      <c r="F45" s="24" t="s">
        <v>23</v>
      </c>
      <c r="G45" s="24" t="s">
        <v>144</v>
      </c>
      <c r="H45" s="27">
        <v>45827</v>
      </c>
      <c r="I45" s="28">
        <v>0.36944444444444446</v>
      </c>
      <c r="J45" s="23">
        <v>3</v>
      </c>
      <c r="K45" s="23" t="s">
        <v>23</v>
      </c>
      <c r="L45" s="26" t="s">
        <v>23</v>
      </c>
      <c r="M45" s="26" t="s">
        <v>72</v>
      </c>
    </row>
    <row r="46" spans="1:13" s="23" customFormat="1">
      <c r="A46" s="23" t="s">
        <v>33</v>
      </c>
      <c r="B46" s="55" t="s">
        <v>145</v>
      </c>
      <c r="C46" s="24">
        <v>45824.378472222219</v>
      </c>
      <c r="D46" s="24" t="s">
        <v>146</v>
      </c>
      <c r="E46" s="24">
        <v>45824.863495370373</v>
      </c>
      <c r="F46" s="25">
        <f>E46-C46</f>
        <v>0.48502314815414138</v>
      </c>
      <c r="G46" s="24" t="s">
        <v>147</v>
      </c>
      <c r="H46" s="27">
        <v>45827</v>
      </c>
      <c r="I46" s="28">
        <v>0.37916666666666665</v>
      </c>
      <c r="J46" s="23">
        <v>3</v>
      </c>
      <c r="K46" s="23">
        <v>2</v>
      </c>
      <c r="L46" s="24" t="s">
        <v>148</v>
      </c>
      <c r="M46" s="26" t="s">
        <v>72</v>
      </c>
    </row>
    <row r="47" spans="1:13" s="23" customFormat="1">
      <c r="A47" s="23" t="s">
        <v>33</v>
      </c>
      <c r="B47" s="55" t="s">
        <v>149</v>
      </c>
      <c r="C47" s="24">
        <v>45824.395833333336</v>
      </c>
      <c r="D47" s="24" t="s">
        <v>150</v>
      </c>
      <c r="E47" s="24">
        <v>45826.174733796295</v>
      </c>
      <c r="F47" s="25">
        <f>E47-C47</f>
        <v>1.7789004629594274</v>
      </c>
      <c r="G47" s="24" t="s">
        <v>151</v>
      </c>
      <c r="H47" s="27">
        <v>45827</v>
      </c>
      <c r="I47" s="28">
        <v>0.39097222222222222</v>
      </c>
      <c r="J47" s="23">
        <v>3</v>
      </c>
      <c r="K47" s="23">
        <v>1</v>
      </c>
      <c r="L47" s="24" t="s">
        <v>150</v>
      </c>
      <c r="M47" s="26" t="s">
        <v>90</v>
      </c>
    </row>
    <row r="48" spans="1:13" s="23" customFormat="1">
      <c r="A48" s="23" t="s">
        <v>33</v>
      </c>
      <c r="B48" s="55" t="s">
        <v>152</v>
      </c>
      <c r="C48" s="24">
        <v>45824.40625</v>
      </c>
      <c r="D48" s="24" t="s">
        <v>153</v>
      </c>
      <c r="E48" s="24">
        <v>45825.062303240738</v>
      </c>
      <c r="F48" s="25">
        <f>E48-C48</f>
        <v>0.65605324073840166</v>
      </c>
      <c r="G48" s="24" t="s">
        <v>154</v>
      </c>
      <c r="H48" s="27">
        <v>45827</v>
      </c>
      <c r="I48" s="28">
        <v>0.39930555555555558</v>
      </c>
      <c r="J48" s="23">
        <v>3</v>
      </c>
      <c r="K48" s="23">
        <v>1</v>
      </c>
      <c r="L48" s="24" t="s">
        <v>153</v>
      </c>
      <c r="M48" s="26" t="s">
        <v>90</v>
      </c>
    </row>
    <row r="49" spans="1:16" s="23" customFormat="1">
      <c r="A49" s="23" t="s">
        <v>33</v>
      </c>
      <c r="B49" s="55" t="s">
        <v>155</v>
      </c>
      <c r="C49" s="24">
        <v>45824.423611111109</v>
      </c>
      <c r="D49" s="24" t="s">
        <v>156</v>
      </c>
      <c r="E49" s="24">
        <v>45825.845960648148</v>
      </c>
      <c r="F49" s="25">
        <f>E49-C49</f>
        <v>1.4223495370388264</v>
      </c>
      <c r="G49" s="24" t="s">
        <v>157</v>
      </c>
      <c r="H49" s="27">
        <v>45827</v>
      </c>
      <c r="I49" s="28">
        <v>0.40972222222222221</v>
      </c>
      <c r="J49" s="23">
        <v>3</v>
      </c>
      <c r="K49" s="23">
        <v>2</v>
      </c>
      <c r="L49" s="26" t="s">
        <v>158</v>
      </c>
      <c r="M49" s="26" t="s">
        <v>90</v>
      </c>
    </row>
    <row r="50" spans="1:16" s="23" customFormat="1">
      <c r="A50" s="23" t="s">
        <v>33</v>
      </c>
      <c r="B50" s="55" t="s">
        <v>159</v>
      </c>
      <c r="C50" s="24">
        <v>45824.4375</v>
      </c>
      <c r="D50" s="24" t="s">
        <v>23</v>
      </c>
      <c r="E50" s="24" t="s">
        <v>23</v>
      </c>
      <c r="F50" s="26" t="s">
        <v>23</v>
      </c>
      <c r="G50" s="24" t="s">
        <v>160</v>
      </c>
      <c r="H50" s="27">
        <v>45827</v>
      </c>
      <c r="I50" s="28">
        <v>0.42291666666666666</v>
      </c>
      <c r="J50" s="23">
        <v>3</v>
      </c>
      <c r="K50" s="23" t="s">
        <v>23</v>
      </c>
      <c r="L50" s="26" t="s">
        <v>23</v>
      </c>
      <c r="M50" s="26" t="s">
        <v>90</v>
      </c>
    </row>
    <row r="51" spans="1:16" s="23" customFormat="1">
      <c r="A51" s="23" t="s">
        <v>33</v>
      </c>
      <c r="B51" s="23" t="s">
        <v>161</v>
      </c>
      <c r="C51" s="24">
        <v>45824.449305555558</v>
      </c>
      <c r="D51" s="24" t="s">
        <v>162</v>
      </c>
      <c r="E51" s="24">
        <v>45824.86513888889</v>
      </c>
      <c r="F51" s="25">
        <f>E51-C51</f>
        <v>0.41583333333255723</v>
      </c>
      <c r="G51" s="24" t="s">
        <v>163</v>
      </c>
      <c r="H51" s="27">
        <v>45827</v>
      </c>
      <c r="I51" s="28">
        <v>0.4375</v>
      </c>
      <c r="J51" s="23">
        <v>3</v>
      </c>
      <c r="K51" s="23">
        <v>2</v>
      </c>
      <c r="L51" s="26" t="s">
        <v>164</v>
      </c>
      <c r="M51" s="26" t="s">
        <v>90</v>
      </c>
    </row>
    <row r="52" spans="1:16">
      <c r="C52" s="18"/>
      <c r="D52"/>
      <c r="E52"/>
      <c r="F52" s="18"/>
      <c r="G52" s="19"/>
      <c r="H52" s="18"/>
      <c r="I52" s="18"/>
      <c r="J52" s="18"/>
      <c r="K52" s="21"/>
      <c r="L52" s="22"/>
      <c r="M52"/>
      <c r="O52" s="20"/>
      <c r="P52" s="20"/>
    </row>
    <row r="53" spans="1:16">
      <c r="C53" s="18"/>
      <c r="D53" s="19"/>
      <c r="E53" s="18"/>
      <c r="F53" s="20"/>
      <c r="G53" s="19"/>
    </row>
    <row r="54" spans="1:16">
      <c r="C54" s="18"/>
      <c r="D54" s="19"/>
      <c r="E54" s="18"/>
      <c r="F54" s="20"/>
      <c r="G54" s="19"/>
    </row>
    <row r="55" spans="1:16">
      <c r="C55" s="18"/>
      <c r="D55" s="19"/>
      <c r="E55" s="18"/>
      <c r="F55" s="20"/>
      <c r="G55" s="19"/>
    </row>
    <row r="56" spans="1:16">
      <c r="C56" s="18"/>
      <c r="D56" s="19"/>
      <c r="E56" s="18"/>
      <c r="F56" s="20"/>
      <c r="G56" s="19"/>
    </row>
    <row r="57" spans="1:16">
      <c r="C57" s="18"/>
      <c r="D57" s="19"/>
      <c r="E57" s="18"/>
      <c r="F57" s="20"/>
      <c r="G57" s="19"/>
    </row>
    <row r="58" spans="1:16">
      <c r="C58" s="18"/>
      <c r="D58" s="19"/>
      <c r="E58" s="18"/>
      <c r="F58" s="20"/>
      <c r="G58" s="19"/>
    </row>
    <row r="59" spans="1:16">
      <c r="C59" s="3"/>
      <c r="D59" s="5"/>
      <c r="E59" s="3"/>
      <c r="G59" s="5"/>
    </row>
    <row r="60" spans="1:16">
      <c r="C60" s="3"/>
      <c r="D60" s="5"/>
      <c r="E60" s="3"/>
      <c r="G60" s="5"/>
    </row>
    <row r="61" spans="1:16">
      <c r="C61" s="3"/>
      <c r="D61" s="5"/>
      <c r="E61" s="3"/>
      <c r="G61" s="5"/>
    </row>
    <row r="62" spans="1:16">
      <c r="C62" s="3"/>
      <c r="D62" s="5"/>
      <c r="E62" s="3"/>
      <c r="G62" s="5"/>
    </row>
    <row r="63" spans="1:16">
      <c r="C63" s="3"/>
      <c r="D63" s="5"/>
      <c r="E63" s="3"/>
      <c r="G63" s="5"/>
    </row>
    <row r="64" spans="1:16">
      <c r="C64" s="3"/>
      <c r="D64" s="5"/>
      <c r="E64" s="3"/>
      <c r="G64" s="5"/>
    </row>
    <row r="65" spans="3:7">
      <c r="C65" s="3"/>
      <c r="D65" s="5"/>
      <c r="E65" s="3"/>
      <c r="G65" s="5"/>
    </row>
    <row r="66" spans="3:7">
      <c r="C66" s="3"/>
      <c r="D66" s="5"/>
      <c r="E66" s="3"/>
      <c r="G66" s="5"/>
    </row>
    <row r="67" spans="3:7">
      <c r="C67" s="3"/>
      <c r="D67" s="5"/>
      <c r="E67" s="3"/>
      <c r="G67" s="5"/>
    </row>
    <row r="68" spans="3:7">
      <c r="C68" s="3"/>
      <c r="D68" s="5"/>
      <c r="E68" s="3"/>
      <c r="G68" s="5"/>
    </row>
    <row r="69" spans="3:7">
      <c r="C69" s="3"/>
      <c r="D69" s="5"/>
      <c r="E69" s="3"/>
      <c r="G69" s="5"/>
    </row>
    <row r="70" spans="3:7">
      <c r="C70" s="3"/>
      <c r="D70" s="5"/>
      <c r="E70" s="3"/>
      <c r="G70" s="5"/>
    </row>
    <row r="71" spans="3:7">
      <c r="C71" s="3"/>
      <c r="D71" s="5"/>
      <c r="E71" s="3"/>
      <c r="G71" s="5"/>
    </row>
    <row r="72" spans="3:7">
      <c r="C72" s="3"/>
      <c r="D72" s="5"/>
      <c r="E72" s="3"/>
      <c r="G72" s="5"/>
    </row>
    <row r="73" spans="3:7">
      <c r="C73" s="3"/>
      <c r="D73" s="5"/>
      <c r="E73" s="3"/>
      <c r="G73" s="5"/>
    </row>
    <row r="74" spans="3:7">
      <c r="C74" s="3"/>
      <c r="D74" s="5"/>
      <c r="E74" s="3"/>
      <c r="G74" s="5"/>
    </row>
    <row r="75" spans="3:7">
      <c r="C75" s="3"/>
      <c r="D75" s="5"/>
      <c r="E75" s="3"/>
      <c r="G75" s="5"/>
    </row>
    <row r="76" spans="3:7">
      <c r="C76" s="3"/>
      <c r="D76" s="5"/>
      <c r="E76" s="3"/>
      <c r="G76" s="5"/>
    </row>
    <row r="77" spans="3:7">
      <c r="C77" s="3"/>
      <c r="D77" s="5"/>
      <c r="E77" s="3"/>
      <c r="G77" s="5"/>
    </row>
    <row r="78" spans="3:7">
      <c r="C78" s="3"/>
      <c r="D78" s="5"/>
      <c r="E78" s="3"/>
      <c r="G78" s="5"/>
    </row>
    <row r="79" spans="3:7">
      <c r="C79" s="3"/>
      <c r="D79" s="5"/>
      <c r="E79" s="3"/>
      <c r="G79" s="5"/>
    </row>
    <row r="80" spans="3:7">
      <c r="C80" s="3"/>
      <c r="D80" s="5"/>
      <c r="E80" s="3"/>
      <c r="G80" s="5"/>
    </row>
    <row r="81" spans="3:7">
      <c r="C81" s="3"/>
      <c r="D81" s="5"/>
      <c r="E81" s="3"/>
      <c r="G81" s="5"/>
    </row>
    <row r="82" spans="3:7">
      <c r="C82" s="3"/>
      <c r="D82" s="5"/>
      <c r="E82" s="3"/>
      <c r="G82" s="5"/>
    </row>
    <row r="83" spans="3:7">
      <c r="C83" s="3"/>
      <c r="D83" s="5"/>
      <c r="E83" s="3"/>
      <c r="G83" s="5"/>
    </row>
    <row r="84" spans="3:7">
      <c r="C84" s="3"/>
      <c r="D84" s="5"/>
      <c r="E84" s="3"/>
      <c r="G84" s="5"/>
    </row>
    <row r="85" spans="3:7">
      <c r="C85" s="3"/>
      <c r="D85" s="5"/>
      <c r="E85" s="3"/>
      <c r="G85" s="5"/>
    </row>
    <row r="86" spans="3:7">
      <c r="C86" s="3"/>
      <c r="D86" s="5"/>
      <c r="E86" s="3"/>
      <c r="G86" s="5"/>
    </row>
    <row r="87" spans="3:7">
      <c r="C87" s="3"/>
      <c r="D87" s="5"/>
      <c r="E87" s="3"/>
      <c r="G87" s="5"/>
    </row>
    <row r="88" spans="3:7">
      <c r="C88" s="3"/>
      <c r="D88" s="5"/>
      <c r="E88" s="3"/>
      <c r="G88" s="5"/>
    </row>
    <row r="89" spans="3:7">
      <c r="C89" s="3"/>
      <c r="D89" s="5"/>
      <c r="E89" s="3"/>
      <c r="G89" s="5"/>
    </row>
    <row r="90" spans="3:7">
      <c r="C90" s="3"/>
      <c r="D90" s="5"/>
      <c r="E90" s="3"/>
      <c r="G90" s="5"/>
    </row>
    <row r="91" spans="3:7">
      <c r="C91" s="3"/>
      <c r="D91" s="5"/>
      <c r="E91" s="3"/>
      <c r="G91" s="5"/>
    </row>
    <row r="92" spans="3:7">
      <c r="C92" s="3"/>
      <c r="D92" s="5"/>
      <c r="E92" s="3"/>
      <c r="G92" s="5"/>
    </row>
    <row r="93" spans="3:7">
      <c r="C93" s="3"/>
      <c r="D93" s="5"/>
      <c r="E93" s="3"/>
      <c r="G93" s="5"/>
    </row>
    <row r="94" spans="3:7">
      <c r="C94" s="3"/>
      <c r="D94" s="5"/>
      <c r="E94" s="3"/>
      <c r="G94" s="5"/>
    </row>
    <row r="95" spans="3:7">
      <c r="C95" s="3"/>
      <c r="D95" s="5"/>
      <c r="E95" s="3"/>
      <c r="G95" s="5"/>
    </row>
    <row r="96" spans="3:7">
      <c r="C96" s="3"/>
      <c r="D96" s="5"/>
      <c r="E96" s="3"/>
      <c r="G96" s="5"/>
    </row>
    <row r="97" spans="3:7">
      <c r="C97" s="3"/>
      <c r="D97" s="5"/>
      <c r="E97" s="3"/>
      <c r="G97" s="5"/>
    </row>
    <row r="98" spans="3:7">
      <c r="C98" s="3"/>
      <c r="D98" s="5"/>
      <c r="E98" s="3"/>
      <c r="G98" s="5"/>
    </row>
    <row r="99" spans="3:7">
      <c r="C99" s="3"/>
      <c r="D99" s="5"/>
      <c r="E99" s="3"/>
      <c r="G99" s="5"/>
    </row>
    <row r="100" spans="3:7">
      <c r="C100" s="3"/>
      <c r="D100" s="5"/>
      <c r="E100" s="3"/>
      <c r="G100" s="5"/>
    </row>
    <row r="101" spans="3:7">
      <c r="C101" s="3"/>
      <c r="D101" s="5"/>
      <c r="E101" s="3"/>
      <c r="G101" s="5"/>
    </row>
    <row r="102" spans="3:7">
      <c r="C102" s="3"/>
      <c r="D102" s="5"/>
      <c r="E102" s="3"/>
      <c r="G102" s="5"/>
    </row>
    <row r="103" spans="3:7">
      <c r="C103" s="3"/>
      <c r="D103" s="5"/>
      <c r="E103" s="3"/>
      <c r="G103" s="5"/>
    </row>
    <row r="104" spans="3:7">
      <c r="C104" s="3"/>
      <c r="D104" s="5"/>
      <c r="E104" s="3"/>
      <c r="G104" s="5"/>
    </row>
    <row r="105" spans="3:7">
      <c r="C105" s="3"/>
      <c r="D105" s="5"/>
      <c r="E105" s="3"/>
      <c r="G105" s="5"/>
    </row>
    <row r="106" spans="3:7">
      <c r="C106" s="3"/>
      <c r="D106" s="5"/>
      <c r="E106" s="3"/>
      <c r="G106" s="5"/>
    </row>
    <row r="107" spans="3:7">
      <c r="C107" s="3"/>
      <c r="D107" s="5"/>
      <c r="E107" s="3"/>
      <c r="G107" s="5"/>
    </row>
    <row r="108" spans="3:7">
      <c r="C108" s="3"/>
      <c r="D108" s="5"/>
      <c r="E108" s="3"/>
      <c r="G108" s="5"/>
    </row>
    <row r="109" spans="3:7">
      <c r="C109" s="3"/>
      <c r="D109" s="5"/>
      <c r="E109" s="3"/>
      <c r="G109" s="5"/>
    </row>
    <row r="110" spans="3:7">
      <c r="C110" s="3"/>
      <c r="D110" s="5"/>
      <c r="E110" s="3"/>
      <c r="G110" s="5"/>
    </row>
    <row r="111" spans="3:7">
      <c r="C111" s="3"/>
      <c r="D111" s="5"/>
      <c r="E111" s="3"/>
      <c r="G111" s="5"/>
    </row>
    <row r="112" spans="3:7">
      <c r="C112" s="3"/>
      <c r="D112" s="5"/>
      <c r="E112" s="3"/>
      <c r="G112" s="5"/>
    </row>
    <row r="113" spans="3:7">
      <c r="C113" s="3"/>
      <c r="D113" s="5"/>
      <c r="E113" s="3"/>
      <c r="G113" s="5"/>
    </row>
    <row r="114" spans="3:7">
      <c r="C114" s="3"/>
      <c r="D114" s="5"/>
      <c r="E114" s="3"/>
      <c r="G114" s="5"/>
    </row>
    <row r="115" spans="3:7">
      <c r="C115" s="3"/>
      <c r="D115" s="5"/>
      <c r="E115" s="3"/>
      <c r="G115" s="5"/>
    </row>
    <row r="116" spans="3:7">
      <c r="C116" s="3"/>
      <c r="D116" s="5"/>
      <c r="E116" s="3"/>
      <c r="G116" s="5"/>
    </row>
    <row r="117" spans="3:7">
      <c r="C117" s="3"/>
      <c r="D117" s="5"/>
      <c r="E117" s="3"/>
      <c r="G117" s="5"/>
    </row>
    <row r="118" spans="3:7">
      <c r="C118" s="3"/>
      <c r="D118" s="5"/>
      <c r="E118" s="3"/>
      <c r="G118" s="5"/>
    </row>
    <row r="119" spans="3:7">
      <c r="C119" s="3"/>
      <c r="D119" s="5"/>
      <c r="E119" s="3"/>
      <c r="G119" s="5"/>
    </row>
    <row r="120" spans="3:7">
      <c r="C120" s="3"/>
      <c r="D120" s="5"/>
      <c r="E120" s="3"/>
      <c r="G120" s="5"/>
    </row>
    <row r="121" spans="3:7">
      <c r="C121" s="3"/>
      <c r="D121" s="5"/>
      <c r="E121" s="3"/>
      <c r="G121" s="5"/>
    </row>
    <row r="122" spans="3:7">
      <c r="C122" s="3"/>
      <c r="D122" s="5"/>
      <c r="E122" s="3"/>
      <c r="G122" s="5"/>
    </row>
    <row r="123" spans="3:7">
      <c r="C123" s="3"/>
      <c r="D123" s="5"/>
      <c r="E123" s="3"/>
      <c r="G123" s="5"/>
    </row>
    <row r="124" spans="3:7">
      <c r="C124" s="3"/>
      <c r="E124" s="3"/>
      <c r="G124" s="5"/>
    </row>
    <row r="125" spans="3:7">
      <c r="C125" s="3"/>
      <c r="E125" s="3"/>
      <c r="G125" s="5"/>
    </row>
    <row r="126" spans="3:7">
      <c r="E126" s="3"/>
      <c r="G126" s="5"/>
    </row>
    <row r="127" spans="3:7">
      <c r="E127" s="3"/>
      <c r="G12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kaelis</dc:creator>
  <cp:keywords/>
  <dc:description/>
  <cp:lastModifiedBy>cb1199</cp:lastModifiedBy>
  <cp:revision/>
  <dcterms:created xsi:type="dcterms:W3CDTF">2025-04-28T02:42:06Z</dcterms:created>
  <dcterms:modified xsi:type="dcterms:W3CDTF">2025-07-11T06:23:45Z</dcterms:modified>
  <cp:category/>
  <cp:contentStatus/>
</cp:coreProperties>
</file>